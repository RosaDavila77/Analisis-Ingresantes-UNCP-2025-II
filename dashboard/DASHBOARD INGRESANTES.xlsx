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mad\Downloads\"/>
    </mc:Choice>
  </mc:AlternateContent>
  <xr:revisionPtr revIDLastSave="0" documentId="13_ncr:1_{DC6C8F66-8D17-4DF8-A1FD-E8D166FF0B08}" xr6:coauthVersionLast="47" xr6:coauthVersionMax="47" xr10:uidLastSave="{00000000-0000-0000-0000-000000000000}"/>
  <bookViews>
    <workbookView xWindow="-96" yWindow="0" windowWidth="11712" windowHeight="12336" xr2:uid="{E4357173-D64D-4BE1-9171-1866FC91177F}"/>
  </bookViews>
  <sheets>
    <sheet name="DataBase Limpia" sheetId="12" r:id="rId1"/>
    <sheet name="Analisis" sheetId="10" r:id="rId2"/>
    <sheet name="Dashboard" sheetId="11" r:id="rId3"/>
  </sheets>
  <definedNames>
    <definedName name="DatosExternos_2" localSheetId="0" hidden="1">'DataBase Limpia'!$A$1:$G$883</definedName>
    <definedName name="DatosExternos_2" localSheetId="0" hidden="1">'DataBase Limpia'!$A$1:$G$883</definedName>
    <definedName name="SegmentaciónDeDatos_DEPARTAMENTO1">#N/A</definedName>
    <definedName name="SegmentaciónDeDatos_SEXO1">#N/A</definedName>
    <definedName name="SegmentaciónDeDatos_TIPO_ADMIS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4" i="10" l="1"/>
  <c r="B53" i="10"/>
  <c r="C68" i="10"/>
  <c r="B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E04E22-879A-45D8-817A-5B004604A314}" keepAlive="1" name="Consulta - INGRESANTES_2025_2_0__BASE_DE_DATOS" description="Conexión a la consulta 'INGRESANTES_2025_2_0__BASE_DE_DATOS' en el libro." type="5" refreshedVersion="8" background="1" saveData="1">
    <dbPr connection="Provider=Microsoft.Mashup.OleDb.1;Data Source=$Workbook$;Location=INGRESANTES_2025_2_0__BASE_DE_DATOS;Extended Properties=&quot;&quot;" command="SELECT * FROM [INGRESANTES_2025_2_0__BASE_DE_DATOS]"/>
  </connection>
  <connection id="2" xr16:uid="{121E6921-F898-4043-B5A3-831377A2DA57}" keepAlive="1" name="Consulta - INGRESANTES-2025-2_0 (BASE DE DATOS)" description="Conexión a la consulta 'INGRESANTES-2025-2_0 (BASE DE DATOS)' en el libro." type="5" refreshedVersion="0" background="1">
    <dbPr connection="Provider=Microsoft.Mashup.OleDb.1;Data Source=$Workbook$;Location=&quot;INGRESANTES-2025-2_0 (BASE DE DATOS)&quot;;Extended Properties=&quot;&quot;" command="SELECT * FROM [INGRESANTES-2025-2_0 (BASE DE DATOS)]"/>
  </connection>
</connections>
</file>

<file path=xl/sharedStrings.xml><?xml version="1.0" encoding="utf-8"?>
<sst xmlns="http://schemas.openxmlformats.org/spreadsheetml/2006/main" count="5420" uniqueCount="214">
  <si>
    <t>FECHA_CORTE</t>
  </si>
  <si>
    <t>DEPARTAMENTO</t>
  </si>
  <si>
    <t>PROVINCIA</t>
  </si>
  <si>
    <t>DISTRITO</t>
  </si>
  <si>
    <t>TIPO_ADMISION</t>
  </si>
  <si>
    <t>ESCUELA</t>
  </si>
  <si>
    <t>SEXO</t>
  </si>
  <si>
    <t>JUNIN</t>
  </si>
  <si>
    <t>HUANCAYO</t>
  </si>
  <si>
    <t>SICAYA</t>
  </si>
  <si>
    <t>CEPRE ADMISION</t>
  </si>
  <si>
    <t>CIENCIAS FORESTALES Y DEL AMBIENTE</t>
  </si>
  <si>
    <t>FEMENINO</t>
  </si>
  <si>
    <t>JAUJA</t>
  </si>
  <si>
    <t>HUERTAS</t>
  </si>
  <si>
    <t>CONTABILIDAD</t>
  </si>
  <si>
    <t>MASCULINO</t>
  </si>
  <si>
    <t>EL TAMBO</t>
  </si>
  <si>
    <t>NORMAL ORDINARIO</t>
  </si>
  <si>
    <t>CONCEPCION</t>
  </si>
  <si>
    <t>MARCO</t>
  </si>
  <si>
    <t>PUCARA</t>
  </si>
  <si>
    <t>CHILCA</t>
  </si>
  <si>
    <t>HUAYUCACHI</t>
  </si>
  <si>
    <t>SAN AGUSTIN</t>
  </si>
  <si>
    <t>SAPALLANGA</t>
  </si>
  <si>
    <t>CHUPACA</t>
  </si>
  <si>
    <t>TRES DE DICIEMBRE</t>
  </si>
  <si>
    <t>SANTO DOMINGO DE ACOBAMBA</t>
  </si>
  <si>
    <t>HUANCAVELICA</t>
  </si>
  <si>
    <t>MOYA</t>
  </si>
  <si>
    <t>IZCUCHACA</t>
  </si>
  <si>
    <t>ACORIA</t>
  </si>
  <si>
    <t>DERECHO Y CIENCIAS POLÍTICAS</t>
  </si>
  <si>
    <t>HUALHUAS</t>
  </si>
  <si>
    <t>SEGUNDA CARRERA</t>
  </si>
  <si>
    <t>SAÑO</t>
  </si>
  <si>
    <t>TAYACAJA</t>
  </si>
  <si>
    <t>ACOSTAMBO</t>
  </si>
  <si>
    <t>LLOCLLAPAMPA</t>
  </si>
  <si>
    <t>SAN MARCOS DE ROCCHAC</t>
  </si>
  <si>
    <t>HIJO DE COMUNEROS</t>
  </si>
  <si>
    <t>PILCOMAYO</t>
  </si>
  <si>
    <t>PRIMEROS PUESTOS</t>
  </si>
  <si>
    <t>SAN JUAN DE ISCOS</t>
  </si>
  <si>
    <t>AFECTADOS POR LA VIOLENCIA SOCIAL</t>
  </si>
  <si>
    <t>LIMA</t>
  </si>
  <si>
    <t>SAN MARTIN DE PORRES</t>
  </si>
  <si>
    <t>CHANCHAMAYO</t>
  </si>
  <si>
    <t>PICHANAQUI</t>
  </si>
  <si>
    <t>AYACUCHO</t>
  </si>
  <si>
    <t>HUAMANGA</t>
  </si>
  <si>
    <t>JESUS NAZARENO</t>
  </si>
  <si>
    <t>SINCOS</t>
  </si>
  <si>
    <t>HUASICANCHA</t>
  </si>
  <si>
    <t>ECONOMÍA</t>
  </si>
  <si>
    <t>YAULI</t>
  </si>
  <si>
    <t>ORCOTUNA</t>
  </si>
  <si>
    <t>POMACANCHA</t>
  </si>
  <si>
    <t>MANTA</t>
  </si>
  <si>
    <t>CHAMBARA</t>
  </si>
  <si>
    <t>TARMA</t>
  </si>
  <si>
    <t>SATIPO</t>
  </si>
  <si>
    <t>PANGOA</t>
  </si>
  <si>
    <t>ACOBAMBA</t>
  </si>
  <si>
    <t>PAUCARA</t>
  </si>
  <si>
    <t>SAN PEDRO DE CAJAS</t>
  </si>
  <si>
    <t>TUNAN MARCA</t>
  </si>
  <si>
    <t>PANCAN</t>
  </si>
  <si>
    <t>EDUCACIÓN FISICA Y PSICOMOTRICIDAD</t>
  </si>
  <si>
    <t>HUARIBAMBA</t>
  </si>
  <si>
    <t>SAN JERONIMO DE TUNAN</t>
  </si>
  <si>
    <t>COLCABAMBA</t>
  </si>
  <si>
    <t>PASCO</t>
  </si>
  <si>
    <t>OXAPAMPA</t>
  </si>
  <si>
    <t>PUERTO BERMUDEZ</t>
  </si>
  <si>
    <t>PAZOS</t>
  </si>
  <si>
    <t>CHUPURO</t>
  </si>
  <si>
    <t>PACCHA</t>
  </si>
  <si>
    <t>CHURCAMPA</t>
  </si>
  <si>
    <t>EL CARMEN</t>
  </si>
  <si>
    <t>ANCO</t>
  </si>
  <si>
    <t>YAUYOS</t>
  </si>
  <si>
    <t>EDUCACIÓN INICIAL</t>
  </si>
  <si>
    <t>SAUSA</t>
  </si>
  <si>
    <t>MATAHUASI</t>
  </si>
  <si>
    <t>CARHUAMAYO</t>
  </si>
  <si>
    <t>EDUCACIÓN PRIMARIA</t>
  </si>
  <si>
    <t>VILLA RICA</t>
  </si>
  <si>
    <t>HUANCAN</t>
  </si>
  <si>
    <t>HUANTA</t>
  </si>
  <si>
    <t>EDUCACIÓN SECUNDARIA: CIENCIAS MATEMÁTICAS E INFORMÁTICA</t>
  </si>
  <si>
    <t>LA OROYA</t>
  </si>
  <si>
    <t>INGENIERÍA QUÍMICA</t>
  </si>
  <si>
    <t>MAZAMARI</t>
  </si>
  <si>
    <t>EDUCACION SECUNDARIA: CIENCIAS NATURALES Y AMBIENTALES</t>
  </si>
  <si>
    <t>QUICHUAS</t>
  </si>
  <si>
    <t>EDUCACIÓN SECUNDARIA: FILOSOFÍA, CIENCIAS SOCIALES Y RELACIONES HUMANAS</t>
  </si>
  <si>
    <t>EL MANTARO</t>
  </si>
  <si>
    <t>EDUCACIÓN SECUNDARIA: LENGUAS, LITERATURA Y COMUNICACIÓN</t>
  </si>
  <si>
    <t>ACOLLA</t>
  </si>
  <si>
    <t>HUAMANCACA CHICO</t>
  </si>
  <si>
    <t>ENFERMERÍA</t>
  </si>
  <si>
    <t>CHONGOS BAJO</t>
  </si>
  <si>
    <t>CARABAYLLO</t>
  </si>
  <si>
    <t>HUARIPAMPA</t>
  </si>
  <si>
    <t>QUILCAS</t>
  </si>
  <si>
    <t>YANACANCHA</t>
  </si>
  <si>
    <t>HUARIACA</t>
  </si>
  <si>
    <t>CARHUACALLANGA</t>
  </si>
  <si>
    <t>EL AGUSTINO</t>
  </si>
  <si>
    <t>INGENIERÍA DE MINAS</t>
  </si>
  <si>
    <t>SAN RAMON</t>
  </si>
  <si>
    <t>PERSONA CON DISCAPACIDAD</t>
  </si>
  <si>
    <t>ASCENSION</t>
  </si>
  <si>
    <t>INGENIERÍA AGROINDUSTRIAL</t>
  </si>
  <si>
    <t>INGENIERÍA CIVIL</t>
  </si>
  <si>
    <t>TRASLADO INTERNO</t>
  </si>
  <si>
    <t>ADMINISTRACIÓN DE EMPRESAS</t>
  </si>
  <si>
    <t>LOCROJA</t>
  </si>
  <si>
    <t>COCHAS</t>
  </si>
  <si>
    <t>LA MAR</t>
  </si>
  <si>
    <t>LUIS CARRANZA</t>
  </si>
  <si>
    <t>ATAURA</t>
  </si>
  <si>
    <t>COSME</t>
  </si>
  <si>
    <t>AHUAYCHA</t>
  </si>
  <si>
    <t>SAN MIGUEL</t>
  </si>
  <si>
    <t>CIENCIAS DE LA COMUNICACIÓN</t>
  </si>
  <si>
    <t>HUANDO</t>
  </si>
  <si>
    <t>APURIMAC</t>
  </si>
  <si>
    <t>ANDAHUAYLAS</t>
  </si>
  <si>
    <t>INGENIERÍA DE SISTEMAS</t>
  </si>
  <si>
    <t>PAMPAS</t>
  </si>
  <si>
    <t>TRASLADO EXTERNO</t>
  </si>
  <si>
    <t>SUITUCANCHA</t>
  </si>
  <si>
    <t>INGENIERÍA ELÉCTRICA</t>
  </si>
  <si>
    <t>PERENE</t>
  </si>
  <si>
    <t>INGENIERÍA EN INDUSTRIAS ALIMENTARIAS</t>
  </si>
  <si>
    <t>MANZANARES</t>
  </si>
  <si>
    <t>HUAURA</t>
  </si>
  <si>
    <t>SANTA MARIA</t>
  </si>
  <si>
    <t>MOLINOS</t>
  </si>
  <si>
    <t>VITIS</t>
  </si>
  <si>
    <t>VIQUES</t>
  </si>
  <si>
    <t>INGENIERÍA EN INDUSTRIAS ALIMENTARIAS TROPICAL</t>
  </si>
  <si>
    <t>RIO NEGRO</t>
  </si>
  <si>
    <t>UCAYALI</t>
  </si>
  <si>
    <t>CORONEL PORTILLO</t>
  </si>
  <si>
    <t>CALLERIA</t>
  </si>
  <si>
    <t>INGENIERÍA FORESTAL TROPICAL</t>
  </si>
  <si>
    <t>INGENIERÍA MECÁNICA</t>
  </si>
  <si>
    <t>COMAS</t>
  </si>
  <si>
    <t>CALLAO</t>
  </si>
  <si>
    <t>BELLAVISTA</t>
  </si>
  <si>
    <t>LA VICTORIA</t>
  </si>
  <si>
    <t>SANTIAGO DE TUCUMA</t>
  </si>
  <si>
    <t>SANTA ROSA DE SACCO</t>
  </si>
  <si>
    <t>HUAROCHIRI</t>
  </si>
  <si>
    <t>CHICLA</t>
  </si>
  <si>
    <t>SANTA ANITA</t>
  </si>
  <si>
    <t>ICA</t>
  </si>
  <si>
    <t>SANTIAGO</t>
  </si>
  <si>
    <t>INGENIERÍA METALÚRGICA Y DE MATERIALES</t>
  </si>
  <si>
    <t>MARISCAL CASTILLA</t>
  </si>
  <si>
    <t>SANTA ROSA DE OCOPA</t>
  </si>
  <si>
    <t>PARCO</t>
  </si>
  <si>
    <t>COLCA</t>
  </si>
  <si>
    <t>MASMA</t>
  </si>
  <si>
    <t>SAN JUAN DE MIRAFLORES</t>
  </si>
  <si>
    <t>INGENIO</t>
  </si>
  <si>
    <t>HUACHAC</t>
  </si>
  <si>
    <t>INGENIERÍA QUÍMICA AMBIENTAL</t>
  </si>
  <si>
    <t>SAN LORENZO</t>
  </si>
  <si>
    <t>NUEVO OCCORO</t>
  </si>
  <si>
    <t>INGENIERÍA QUÍMICA INDUSTRIAL</t>
  </si>
  <si>
    <t>SAN PEDRO DE CORIS</t>
  </si>
  <si>
    <t>SAN JUAN DE JARPA</t>
  </si>
  <si>
    <t>ANGARAES</t>
  </si>
  <si>
    <t>CCOCHACCASA</t>
  </si>
  <si>
    <t>MEDICINA HUMANA</t>
  </si>
  <si>
    <t>DEPORTISTA DESTACADO</t>
  </si>
  <si>
    <t>DANIEL ALCIDES CARRION</t>
  </si>
  <si>
    <t>YANAHUANCA</t>
  </si>
  <si>
    <t>SOCIOLOGÍA</t>
  </si>
  <si>
    <t>TRABAJO SOCIAL</t>
  </si>
  <si>
    <t>ZOOTECNIA</t>
  </si>
  <si>
    <t>CIENEGUILLA</t>
  </si>
  <si>
    <t>ZOOTECNIA TROPICAL</t>
  </si>
  <si>
    <t>LIRCAY</t>
  </si>
  <si>
    <t>SANTA BARBARA DE CARHUACAYAN</t>
  </si>
  <si>
    <t>ADMINISTRACIÓN DE NEGOCIOS</t>
  </si>
  <si>
    <t>ADMINISTRACIÓN HOTELERA Y TURISMO</t>
  </si>
  <si>
    <t>AGRONOMÍA</t>
  </si>
  <si>
    <t>ATE</t>
  </si>
  <si>
    <t>AGRONOMÍA TROPICAL</t>
  </si>
  <si>
    <t>HUANUCO</t>
  </si>
  <si>
    <t>CHINCHAO</t>
  </si>
  <si>
    <t>ANTROPOLOGÍA</t>
  </si>
  <si>
    <t>MASMA CHICCHE</t>
  </si>
  <si>
    <t>ARQUITECTURA</t>
  </si>
  <si>
    <t>SAN JERONIMO</t>
  </si>
  <si>
    <t>PUCACOLPA</t>
  </si>
  <si>
    <t>QUICHUAY</t>
  </si>
  <si>
    <t>DANIEL HERNANDEZ</t>
  </si>
  <si>
    <t>MATUCANA</t>
  </si>
  <si>
    <t>Etiquetas de fila</t>
  </si>
  <si>
    <t>Total general</t>
  </si>
  <si>
    <t>Cuenta de SEXO</t>
  </si>
  <si>
    <t>Cuenta de ESCUELA</t>
  </si>
  <si>
    <t>TOTAL DE INGRESANTES</t>
  </si>
  <si>
    <t>Cuenta de DEPARTAMENTO</t>
  </si>
  <si>
    <t>Cantidad de Modalidad</t>
  </si>
  <si>
    <t>Cantidad de escuelas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</si>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</sst>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ngsanaUPC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19" formatCode="d/m/yyyy"/>
    </dxf>
    <dxf>
      <font>
        <b val="0"/>
        <i val="0"/>
        <sz val="8"/>
        <color theme="1"/>
        <name val="Aptos Display"/>
        <family val="2"/>
        <scheme val="major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8"/>
        <color theme="1"/>
        <name val="Aptos Narrow"/>
        <family val="2"/>
        <scheme val="minor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1"/>
        <name val="Abadi"/>
        <family val="2"/>
        <scheme val="none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Mi estilo 1" pivot="0" table="0" count="10" xr9:uid="{491CF961-C1E2-4DB8-A0F3-E4C63F5E1F2B}">
      <tableStyleElement type="wholeTable" dxfId="4"/>
      <tableStyleElement type="headerRow" dxfId="3"/>
    </tableStyle>
    <tableStyle name="Mi estilo 1 2" pivot="0" table="0" count="10" xr9:uid="{A1CC83AE-45E1-4004-8F04-B5DF8A957550}">
      <tableStyleElement type="wholeTable" dxfId="2"/>
      <tableStyleElement type="headerRow" dxfId="1"/>
    </tableStyle>
  </tableStyles>
  <colors>
    <mruColors>
      <color rgb="FF003882"/>
      <color rgb="FF156082"/>
      <color rgb="FFD09E00"/>
      <color rgb="FFC5992E"/>
      <color rgb="FF1A1A1A"/>
      <color rgb="FFFFC000"/>
      <color rgb="FFD1D1D1"/>
      <color rgb="FF808080"/>
      <color rgb="FFF2F2F2"/>
      <color rgb="FFFFFFFF"/>
    </mruColors>
  </colors>
  <extLst>
    <ext xmlns:x14="http://schemas.microsoft.com/office/spreadsheetml/2009/9/main" uri="{46F421CA-312F-682f-3DD2-61675219B42D}">
      <x14:dxfs count="16">
        <dxf>
          <font>
            <sz val="8"/>
            <color rgb="FF000000"/>
          </font>
          <fill>
            <patternFill patternType="solid">
              <fgColor auto="1"/>
              <bgColor rgb="FF80808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000000"/>
          </font>
          <fill>
            <patternFill patternType="solid">
              <fgColor auto="1"/>
              <bgColor theme="0" tint="-0.4999847407452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000000"/>
          </font>
          <fill>
            <patternFill patternType="solid">
              <fgColor auto="1"/>
              <bgColor rgb="FFC5992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000000"/>
          </font>
          <fill>
            <patternFill patternType="solid">
              <fgColor auto="1"/>
              <bgColor rgb="FF00388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828282"/>
            <name val="Aptos Display"/>
            <family val="2"/>
            <scheme val="major"/>
          </font>
          <fill>
            <patternFill patternType="solid">
              <fgColor theme="5" tint="0.79992065187536243"/>
              <bgColor rgb="FFC5992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000000"/>
            <name val="Aptos Display"/>
            <family val="2"/>
            <scheme val="major"/>
          </font>
          <fill>
            <patternFill patternType="solid">
              <fgColor theme="5" tint="0.59999389629810485"/>
              <bgColor rgb="FFC5992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828282"/>
          </font>
          <fill>
            <patternFill patternType="solid">
              <fgColor rgb="FFFFFFFF"/>
              <bgColor rgb="FF00388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000000"/>
          </font>
          <fill>
            <patternFill patternType="solid">
              <fgColor rgb="FFFFFFFF"/>
              <bgColor theme="0" tint="-0.4999847407452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rgb="FFC5992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 estilo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i estilo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38"/>
              <c:pt idx="0">
                <c:v>ADMINISTRACIÓN DE EMPRESAS</c:v>
              </c:pt>
              <c:pt idx="1">
                <c:v>ADMINISTRACIÓN DE NEGOCIOS</c:v>
              </c:pt>
              <c:pt idx="2">
                <c:v>ADMINISTRACIÓN HOTELERA Y TURISMO</c:v>
              </c:pt>
              <c:pt idx="3">
                <c:v>AGRONOMÍA</c:v>
              </c:pt>
              <c:pt idx="4">
                <c:v>AGRONOMÍA TROPICAL</c:v>
              </c:pt>
              <c:pt idx="5">
                <c:v>ANTROPOLOGÍA</c:v>
              </c:pt>
              <c:pt idx="6">
                <c:v>ARQUITECTURA</c:v>
              </c:pt>
              <c:pt idx="7">
                <c:v>CIENCIAS DE LA COMUNICACIÓN</c:v>
              </c:pt>
              <c:pt idx="8">
                <c:v>CIENCIAS FORESTALES Y DEL AMBIENTE</c:v>
              </c:pt>
              <c:pt idx="9">
                <c:v>CONTABILIDAD</c:v>
              </c:pt>
              <c:pt idx="10">
                <c:v>DERECHO Y CIENCIAS POLÍTICAS</c:v>
              </c:pt>
              <c:pt idx="11">
                <c:v>ECONOMÍA</c:v>
              </c:pt>
              <c:pt idx="12">
                <c:v>EDUCACIÓN FISICA Y PSICOMOTRICIDAD</c:v>
              </c:pt>
              <c:pt idx="13">
                <c:v>EDUCACIÓN INICIAL</c:v>
              </c:pt>
              <c:pt idx="14">
                <c:v>EDUCACIÓN PRIMARIA</c:v>
              </c:pt>
              <c:pt idx="15">
                <c:v>EDUCACIÓN SECUNDARIA: CIENCIAS MATEMÁTICAS E INFORMÁTICA</c:v>
              </c:pt>
              <c:pt idx="16">
                <c:v>EDUCACION SECUNDARIA: CIENCIAS NATURALES Y AMBIENTALES</c:v>
              </c:pt>
              <c:pt idx="17">
                <c:v>EDUCACIÓN SECUNDARIA: FILOSOFÍA, CIENCIAS SOCIALES Y RELACIONES HUMANAS</c:v>
              </c:pt>
              <c:pt idx="18">
                <c:v>EDUCACIÓN SECUNDARIA: LENGUAS, LITERATURA Y COMUNICACIÓN</c:v>
              </c:pt>
              <c:pt idx="19">
                <c:v>ENFERMERÍA</c:v>
              </c:pt>
              <c:pt idx="20">
                <c:v>INGENIERÍA AGROINDUSTRIAL</c:v>
              </c:pt>
              <c:pt idx="21">
                <c:v>INGENIERÍA CIVIL</c:v>
              </c:pt>
              <c:pt idx="22">
                <c:v>INGENIERÍA DE MINAS</c:v>
              </c:pt>
              <c:pt idx="23">
                <c:v>INGENIERÍA DE SISTEMAS</c:v>
              </c:pt>
              <c:pt idx="24">
                <c:v>INGENIERÍA ELÉCTRICA</c:v>
              </c:pt>
              <c:pt idx="25">
                <c:v>INGENIERÍA EN INDUSTRIAS ALIMENTARIAS</c:v>
              </c:pt>
              <c:pt idx="26">
                <c:v>INGENIERÍA EN INDUSTRIAS ALIMENTARIAS TROPICAL</c:v>
              </c:pt>
              <c:pt idx="27">
                <c:v>INGENIERÍA FORESTAL TROPICAL</c:v>
              </c:pt>
              <c:pt idx="28">
                <c:v>INGENIERÍA MECÁNICA</c:v>
              </c:pt>
              <c:pt idx="29">
                <c:v>INGENIERÍA METALÚRGICA Y DE MATERIALES</c:v>
              </c:pt>
              <c:pt idx="30">
                <c:v>INGENIERÍA QUÍMICA</c:v>
              </c:pt>
              <c:pt idx="31">
                <c:v>INGENIERÍA QUÍMICA AMBIENTAL</c:v>
              </c:pt>
              <c:pt idx="32">
                <c:v>INGENIERÍA QUÍMICA INDUSTRIAL</c:v>
              </c:pt>
              <c:pt idx="33">
                <c:v>MEDICINA HUMANA</c:v>
              </c:pt>
              <c:pt idx="34">
                <c:v>SOCIOLOGÍA</c:v>
              </c:pt>
              <c:pt idx="35">
                <c:v>TRABAJO SOCIAL</c:v>
              </c:pt>
              <c:pt idx="36">
                <c:v>ZOOTECNIA</c:v>
              </c:pt>
              <c:pt idx="37">
                <c:v>ZOOTECNIA TROPICAL</c:v>
              </c:pt>
            </c:strLit>
          </c:cat>
          <c:val>
            <c:numLit>
              <c:formatCode>General</c:formatCode>
              <c:ptCount val="38"/>
              <c:pt idx="0">
                <c:v>44</c:v>
              </c:pt>
              <c:pt idx="1">
                <c:v>6</c:v>
              </c:pt>
              <c:pt idx="2">
                <c:v>2</c:v>
              </c:pt>
              <c:pt idx="3">
                <c:v>14</c:v>
              </c:pt>
              <c:pt idx="4">
                <c:v>13</c:v>
              </c:pt>
              <c:pt idx="5">
                <c:v>17</c:v>
              </c:pt>
              <c:pt idx="6">
                <c:v>43</c:v>
              </c:pt>
              <c:pt idx="7">
                <c:v>23</c:v>
              </c:pt>
              <c:pt idx="8">
                <c:v>8</c:v>
              </c:pt>
              <c:pt idx="9">
                <c:v>32</c:v>
              </c:pt>
              <c:pt idx="10">
                <c:v>41</c:v>
              </c:pt>
              <c:pt idx="11">
                <c:v>49</c:v>
              </c:pt>
              <c:pt idx="12">
                <c:v>22</c:v>
              </c:pt>
              <c:pt idx="13">
                <c:v>20</c:v>
              </c:pt>
              <c:pt idx="14">
                <c:v>17</c:v>
              </c:pt>
              <c:pt idx="15">
                <c:v>9</c:v>
              </c:pt>
              <c:pt idx="16">
                <c:v>16</c:v>
              </c:pt>
              <c:pt idx="17">
                <c:v>11</c:v>
              </c:pt>
              <c:pt idx="18">
                <c:v>12</c:v>
              </c:pt>
              <c:pt idx="19">
                <c:v>37</c:v>
              </c:pt>
              <c:pt idx="20">
                <c:v>1</c:v>
              </c:pt>
              <c:pt idx="21">
                <c:v>42</c:v>
              </c:pt>
              <c:pt idx="22">
                <c:v>34</c:v>
              </c:pt>
              <c:pt idx="23">
                <c:v>28</c:v>
              </c:pt>
              <c:pt idx="24">
                <c:v>30</c:v>
              </c:pt>
              <c:pt idx="25">
                <c:v>19</c:v>
              </c:pt>
              <c:pt idx="26">
                <c:v>4</c:v>
              </c:pt>
              <c:pt idx="27">
                <c:v>3</c:v>
              </c:pt>
              <c:pt idx="28">
                <c:v>39</c:v>
              </c:pt>
              <c:pt idx="29">
                <c:v>44</c:v>
              </c:pt>
              <c:pt idx="30">
                <c:v>40</c:v>
              </c:pt>
              <c:pt idx="31">
                <c:v>35</c:v>
              </c:pt>
              <c:pt idx="32">
                <c:v>34</c:v>
              </c:pt>
              <c:pt idx="33">
                <c:v>18</c:v>
              </c:pt>
              <c:pt idx="34">
                <c:v>22</c:v>
              </c:pt>
              <c:pt idx="35">
                <c:v>37</c:v>
              </c:pt>
              <c:pt idx="36">
                <c:v>14</c:v>
              </c:pt>
              <c:pt idx="37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856A-4B80-9C89-73F731FE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989266911"/>
        <c:axId val="1989267391"/>
      </c:barChart>
      <c:catAx>
        <c:axId val="1989266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9267391"/>
        <c:crosses val="autoZero"/>
        <c:auto val="1"/>
        <c:lblAlgn val="ctr"/>
        <c:lblOffset val="100"/>
        <c:noMultiLvlLbl val="0"/>
      </c:catAx>
      <c:valAx>
        <c:axId val="19892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926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04451649841744"/>
          <c:y val="0.11166986008893622"/>
          <c:w val="0.42162226241552997"/>
          <c:h val="0.6536379834197835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AFECTADOS POR LA VIOLENCIA SOCIAL</c:v>
              </c:pt>
              <c:pt idx="1">
                <c:v>CEPRE ADMISION</c:v>
              </c:pt>
              <c:pt idx="2">
                <c:v>DEPORTISTA DESTACADO</c:v>
              </c:pt>
              <c:pt idx="3">
                <c:v>HIJO DE COMUNEROS</c:v>
              </c:pt>
              <c:pt idx="4">
                <c:v>NORMAL ORDINARIO</c:v>
              </c:pt>
              <c:pt idx="5">
                <c:v>PERSONA CON DISCAPACIDAD</c:v>
              </c:pt>
              <c:pt idx="6">
                <c:v>PRIMEROS PUESTOS</c:v>
              </c:pt>
              <c:pt idx="7">
                <c:v>SEGUNDA CARRERA</c:v>
              </c:pt>
              <c:pt idx="8">
                <c:v>TRASLADO EXTERNO</c:v>
              </c:pt>
              <c:pt idx="9">
                <c:v>TRASLADO INTERNO</c:v>
              </c:pt>
            </c:strLit>
          </c:cat>
          <c:val>
            <c:numLit>
              <c:formatCode>General</c:formatCode>
              <c:ptCount val="10"/>
              <c:pt idx="0">
                <c:v>6</c:v>
              </c:pt>
              <c:pt idx="1">
                <c:v>241</c:v>
              </c:pt>
              <c:pt idx="2">
                <c:v>1</c:v>
              </c:pt>
              <c:pt idx="3">
                <c:v>25</c:v>
              </c:pt>
              <c:pt idx="4">
                <c:v>586</c:v>
              </c:pt>
              <c:pt idx="5">
                <c:v>1</c:v>
              </c:pt>
              <c:pt idx="6">
                <c:v>12</c:v>
              </c:pt>
              <c:pt idx="7">
                <c:v>6</c:v>
              </c:pt>
              <c:pt idx="8">
                <c:v>2</c:v>
              </c:pt>
              <c:pt idx="9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ACE3-49F3-BBC6-EAD19530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1790719"/>
        <c:axId val="1401779199"/>
      </c:barChart>
      <c:catAx>
        <c:axId val="140179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01779199"/>
        <c:crosses val="autoZero"/>
        <c:auto val="1"/>
        <c:lblAlgn val="ctr"/>
        <c:lblOffset val="100"/>
        <c:noMultiLvlLbl val="0"/>
      </c:catAx>
      <c:valAx>
        <c:axId val="140177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017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0-45EF-8A40-398C2F808DB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0-45EF-8A40-398C2F808DBF}"/>
              </c:ext>
            </c:extLst>
          </c:dPt>
          <c:cat>
            <c:strLit>
              <c:ptCount val="2"/>
              <c:pt idx="0">
                <c:v>FEMENINO</c:v>
              </c:pt>
              <c:pt idx="1">
                <c:v>MASCULINO</c:v>
              </c:pt>
            </c:strLit>
          </c:cat>
          <c:val>
            <c:numLit>
              <c:formatCode>General</c:formatCode>
              <c:ptCount val="2"/>
              <c:pt idx="0">
                <c:v>411</c:v>
              </c:pt>
              <c:pt idx="1">
                <c:v>471</c:v>
              </c:pt>
            </c:numLit>
          </c:val>
          <c:extLst>
            <c:ext xmlns:c16="http://schemas.microsoft.com/office/drawing/2014/chart" uri="{C3380CC4-5D6E-409C-BE32-E72D297353CC}">
              <c16:uniqueId val="{00000004-82E0-45EF-8A40-398C2F808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230968891071294"/>
          <c:y val="0.34238094982530898"/>
          <c:w val="0.43438321776250094"/>
          <c:h val="0.31523810034938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rnd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5992E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C5992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991992297119"/>
          <c:y val="9.3849933491911439E-2"/>
          <c:w val="0.84240016139848517"/>
          <c:h val="0.42200607670405688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C5992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C5992E"/>
                </a:solidFill>
              </a:ln>
              <a:effectLst/>
            </c:spPr>
          </c:marker>
          <c:cat>
            <c:strLit>
              <c:ptCount val="10"/>
              <c:pt idx="0">
                <c:v>APURIMAC</c:v>
              </c:pt>
              <c:pt idx="1">
                <c:v>AYACUCHO</c:v>
              </c:pt>
              <c:pt idx="2">
                <c:v>CALLAO</c:v>
              </c:pt>
              <c:pt idx="3">
                <c:v>HUANCAVELICA</c:v>
              </c:pt>
              <c:pt idx="4">
                <c:v>HUANUCO</c:v>
              </c:pt>
              <c:pt idx="5">
                <c:v>ICA</c:v>
              </c:pt>
              <c:pt idx="6">
                <c:v>JUNIN</c:v>
              </c:pt>
              <c:pt idx="7">
                <c:v>LIMA</c:v>
              </c:pt>
              <c:pt idx="8">
                <c:v>PASCO</c:v>
              </c:pt>
              <c:pt idx="9">
                <c:v>UCAYALI</c:v>
              </c:pt>
            </c:strLit>
          </c:cat>
          <c:val>
            <c:numLit>
              <c:formatCode>General</c:formatCode>
              <c:ptCount val="10"/>
              <c:pt idx="0">
                <c:v>2</c:v>
              </c:pt>
              <c:pt idx="1">
                <c:v>6</c:v>
              </c:pt>
              <c:pt idx="2">
                <c:v>1</c:v>
              </c:pt>
              <c:pt idx="3">
                <c:v>54</c:v>
              </c:pt>
              <c:pt idx="4">
                <c:v>1</c:v>
              </c:pt>
              <c:pt idx="5">
                <c:v>1</c:v>
              </c:pt>
              <c:pt idx="6">
                <c:v>788</c:v>
              </c:pt>
              <c:pt idx="7">
                <c:v>19</c:v>
              </c:pt>
              <c:pt idx="8">
                <c:v>9</c:v>
              </c:pt>
              <c:pt idx="9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85E-4A36-B4BC-7BC6C9EA4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585168"/>
        <c:axId val="297585648"/>
      </c:lineChart>
      <c:catAx>
        <c:axId val="2975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7585648"/>
        <c:crosses val="autoZero"/>
        <c:auto val="1"/>
        <c:lblAlgn val="ctr"/>
        <c:lblOffset val="100"/>
        <c:noMultiLvlLbl val="0"/>
      </c:catAx>
      <c:valAx>
        <c:axId val="2975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758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rgbClr val="1560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rgbClr val="D09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FEMENINO</c:v>
          </c:tx>
          <c:spPr>
            <a:ln w="28575" cap="rnd">
              <a:solidFill>
                <a:srgbClr val="156082"/>
              </a:solidFill>
              <a:round/>
            </a:ln>
            <a:effectLst/>
          </c:spPr>
          <c:marker>
            <c:symbol val="none"/>
          </c:marker>
          <c:cat>
            <c:strLit>
              <c:ptCount val="38"/>
              <c:pt idx="0">
                <c:v>ADMINISTRACIÓN DE EMPRESAS</c:v>
              </c:pt>
              <c:pt idx="1">
                <c:v>ADMINISTRACIÓN DE NEGOCIOS</c:v>
              </c:pt>
              <c:pt idx="2">
                <c:v>ADMINISTRACIÓN HOTELERA Y TURISMO</c:v>
              </c:pt>
              <c:pt idx="3">
                <c:v>AGRONOMÍA</c:v>
              </c:pt>
              <c:pt idx="4">
                <c:v>AGRONOMÍA TROPICAL</c:v>
              </c:pt>
              <c:pt idx="5">
                <c:v>ANTROPOLOGÍA</c:v>
              </c:pt>
              <c:pt idx="6">
                <c:v>ARQUITECTURA</c:v>
              </c:pt>
              <c:pt idx="7">
                <c:v>CIENCIAS DE LA COMUNICACIÓN</c:v>
              </c:pt>
              <c:pt idx="8">
                <c:v>CIENCIAS FORESTALES Y DEL AMBIENTE</c:v>
              </c:pt>
              <c:pt idx="9">
                <c:v>CONTABILIDAD</c:v>
              </c:pt>
              <c:pt idx="10">
                <c:v>DERECHO Y CIENCIAS POLÍTICAS</c:v>
              </c:pt>
              <c:pt idx="11">
                <c:v>ECONOMÍA</c:v>
              </c:pt>
              <c:pt idx="12">
                <c:v>EDUCACIÓN FISICA Y PSICOMOTRICIDAD</c:v>
              </c:pt>
              <c:pt idx="13">
                <c:v>EDUCACIÓN INICIAL</c:v>
              </c:pt>
              <c:pt idx="14">
                <c:v>EDUCACIÓN PRIMARIA</c:v>
              </c:pt>
              <c:pt idx="15">
                <c:v>EDUCACIÓN SECUNDARIA: CIENCIAS MATEMÁTICAS E INFORMÁTICA</c:v>
              </c:pt>
              <c:pt idx="16">
                <c:v>EDUCACION SECUNDARIA: CIENCIAS NATURALES Y AMBIENTALES</c:v>
              </c:pt>
              <c:pt idx="17">
                <c:v>EDUCACIÓN SECUNDARIA: FILOSOFÍA, CIENCIAS SOCIALES Y RELACIONES HUMANAS</c:v>
              </c:pt>
              <c:pt idx="18">
                <c:v>EDUCACIÓN SECUNDARIA: LENGUAS, LITERATURA Y COMUNICACIÓN</c:v>
              </c:pt>
              <c:pt idx="19">
                <c:v>ENFERMERÍA</c:v>
              </c:pt>
              <c:pt idx="20">
                <c:v>INGENIERÍA AGROINDUSTRIAL</c:v>
              </c:pt>
              <c:pt idx="21">
                <c:v>INGENIERÍA CIVIL</c:v>
              </c:pt>
              <c:pt idx="22">
                <c:v>INGENIERÍA DE MINAS</c:v>
              </c:pt>
              <c:pt idx="23">
                <c:v>INGENIERÍA DE SISTEMAS</c:v>
              </c:pt>
              <c:pt idx="24">
                <c:v>INGENIERÍA ELÉCTRICA</c:v>
              </c:pt>
              <c:pt idx="25">
                <c:v>INGENIERÍA EN INDUSTRIAS ALIMENTARIAS</c:v>
              </c:pt>
              <c:pt idx="26">
                <c:v>INGENIERÍA EN INDUSTRIAS ALIMENTARIAS TROPICAL</c:v>
              </c:pt>
              <c:pt idx="27">
                <c:v>INGENIERÍA FORESTAL TROPICAL</c:v>
              </c:pt>
              <c:pt idx="28">
                <c:v>INGENIERÍA MECÁNICA</c:v>
              </c:pt>
              <c:pt idx="29">
                <c:v>INGENIERÍA METALÚRGICA Y DE MATERIALES</c:v>
              </c:pt>
              <c:pt idx="30">
                <c:v>INGENIERÍA QUÍMICA</c:v>
              </c:pt>
              <c:pt idx="31">
                <c:v>INGENIERÍA QUÍMICA AMBIENTAL</c:v>
              </c:pt>
              <c:pt idx="32">
                <c:v>INGENIERÍA QUÍMICA INDUSTRIAL</c:v>
              </c:pt>
              <c:pt idx="33">
                <c:v>MEDICINA HUMANA</c:v>
              </c:pt>
              <c:pt idx="34">
                <c:v>SOCIOLOGÍA</c:v>
              </c:pt>
              <c:pt idx="35">
                <c:v>TRABAJO SOCIAL</c:v>
              </c:pt>
              <c:pt idx="36">
                <c:v>ZOOTECNIA</c:v>
              </c:pt>
              <c:pt idx="37">
                <c:v>ZOOTECNIA TROPICAL</c:v>
              </c:pt>
            </c:strLit>
          </c:cat>
          <c:val>
            <c:numLit>
              <c:formatCode>General</c:formatCode>
              <c:ptCount val="38"/>
              <c:pt idx="0">
                <c:v>24</c:v>
              </c:pt>
              <c:pt idx="1">
                <c:v>4</c:v>
              </c:pt>
              <c:pt idx="2">
                <c:v>1</c:v>
              </c:pt>
              <c:pt idx="3">
                <c:v>7</c:v>
              </c:pt>
              <c:pt idx="4">
                <c:v>2</c:v>
              </c:pt>
              <c:pt idx="5">
                <c:v>11</c:v>
              </c:pt>
              <c:pt idx="6">
                <c:v>22</c:v>
              </c:pt>
              <c:pt idx="7">
                <c:v>12</c:v>
              </c:pt>
              <c:pt idx="8">
                <c:v>3</c:v>
              </c:pt>
              <c:pt idx="9">
                <c:v>16</c:v>
              </c:pt>
              <c:pt idx="10">
                <c:v>18</c:v>
              </c:pt>
              <c:pt idx="11">
                <c:v>26</c:v>
              </c:pt>
              <c:pt idx="12">
                <c:v>3</c:v>
              </c:pt>
              <c:pt idx="13">
                <c:v>20</c:v>
              </c:pt>
              <c:pt idx="14">
                <c:v>17</c:v>
              </c:pt>
              <c:pt idx="15">
                <c:v>3</c:v>
              </c:pt>
              <c:pt idx="16">
                <c:v>9</c:v>
              </c:pt>
              <c:pt idx="17">
                <c:v>5</c:v>
              </c:pt>
              <c:pt idx="18">
                <c:v>8</c:v>
              </c:pt>
              <c:pt idx="19">
                <c:v>27</c:v>
              </c:pt>
              <c:pt idx="20">
                <c:v>1</c:v>
              </c:pt>
              <c:pt idx="21">
                <c:v>5</c:v>
              </c:pt>
              <c:pt idx="22">
                <c:v>6</c:v>
              </c:pt>
              <c:pt idx="23">
                <c:v>8</c:v>
              </c:pt>
              <c:pt idx="24">
                <c:v>3</c:v>
              </c:pt>
              <c:pt idx="25">
                <c:v>12</c:v>
              </c:pt>
              <c:pt idx="26">
                <c:v>3</c:v>
              </c:pt>
              <c:pt idx="27">
                <c:v>1</c:v>
              </c:pt>
              <c:pt idx="28">
                <c:v>0</c:v>
              </c:pt>
              <c:pt idx="29">
                <c:v>8</c:v>
              </c:pt>
              <c:pt idx="30">
                <c:v>15</c:v>
              </c:pt>
              <c:pt idx="31">
                <c:v>22</c:v>
              </c:pt>
              <c:pt idx="32">
                <c:v>19</c:v>
              </c:pt>
              <c:pt idx="33">
                <c:v>13</c:v>
              </c:pt>
              <c:pt idx="34">
                <c:v>16</c:v>
              </c:pt>
              <c:pt idx="35">
                <c:v>37</c:v>
              </c:pt>
              <c:pt idx="36">
                <c:v>4</c:v>
              </c:pt>
              <c:pt idx="3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3D2-4099-BC41-4A247FE0CA81}"/>
            </c:ext>
          </c:extLst>
        </c:ser>
        <c:ser>
          <c:idx val="1"/>
          <c:order val="1"/>
          <c:tx>
            <c:v>MASCULINO</c:v>
          </c:tx>
          <c:spPr>
            <a:ln w="28575" cap="rnd">
              <a:solidFill>
                <a:srgbClr val="D09E00"/>
              </a:solidFill>
              <a:round/>
            </a:ln>
            <a:effectLst/>
          </c:spPr>
          <c:marker>
            <c:symbol val="none"/>
          </c:marker>
          <c:cat>
            <c:strLit>
              <c:ptCount val="38"/>
              <c:pt idx="0">
                <c:v>ADMINISTRACIÓN DE EMPRESAS</c:v>
              </c:pt>
              <c:pt idx="1">
                <c:v>ADMINISTRACIÓN DE NEGOCIOS</c:v>
              </c:pt>
              <c:pt idx="2">
                <c:v>ADMINISTRACIÓN HOTELERA Y TURISMO</c:v>
              </c:pt>
              <c:pt idx="3">
                <c:v>AGRONOMÍA</c:v>
              </c:pt>
              <c:pt idx="4">
                <c:v>AGRONOMÍA TROPICAL</c:v>
              </c:pt>
              <c:pt idx="5">
                <c:v>ANTROPOLOGÍA</c:v>
              </c:pt>
              <c:pt idx="6">
                <c:v>ARQUITECTURA</c:v>
              </c:pt>
              <c:pt idx="7">
                <c:v>CIENCIAS DE LA COMUNICACIÓN</c:v>
              </c:pt>
              <c:pt idx="8">
                <c:v>CIENCIAS FORESTALES Y DEL AMBIENTE</c:v>
              </c:pt>
              <c:pt idx="9">
                <c:v>CONTABILIDAD</c:v>
              </c:pt>
              <c:pt idx="10">
                <c:v>DERECHO Y CIENCIAS POLÍTICAS</c:v>
              </c:pt>
              <c:pt idx="11">
                <c:v>ECONOMÍA</c:v>
              </c:pt>
              <c:pt idx="12">
                <c:v>EDUCACIÓN FISICA Y PSICOMOTRICIDAD</c:v>
              </c:pt>
              <c:pt idx="13">
                <c:v>EDUCACIÓN INICIAL</c:v>
              </c:pt>
              <c:pt idx="14">
                <c:v>EDUCACIÓN PRIMARIA</c:v>
              </c:pt>
              <c:pt idx="15">
                <c:v>EDUCACIÓN SECUNDARIA: CIENCIAS MATEMÁTICAS E INFORMÁTICA</c:v>
              </c:pt>
              <c:pt idx="16">
                <c:v>EDUCACION SECUNDARIA: CIENCIAS NATURALES Y AMBIENTALES</c:v>
              </c:pt>
              <c:pt idx="17">
                <c:v>EDUCACIÓN SECUNDARIA: FILOSOFÍA, CIENCIAS SOCIALES Y RELACIONES HUMANAS</c:v>
              </c:pt>
              <c:pt idx="18">
                <c:v>EDUCACIÓN SECUNDARIA: LENGUAS, LITERATURA Y COMUNICACIÓN</c:v>
              </c:pt>
              <c:pt idx="19">
                <c:v>ENFERMERÍA</c:v>
              </c:pt>
              <c:pt idx="20">
                <c:v>INGENIERÍA AGROINDUSTRIAL</c:v>
              </c:pt>
              <c:pt idx="21">
                <c:v>INGENIERÍA CIVIL</c:v>
              </c:pt>
              <c:pt idx="22">
                <c:v>INGENIERÍA DE MINAS</c:v>
              </c:pt>
              <c:pt idx="23">
                <c:v>INGENIERÍA DE SISTEMAS</c:v>
              </c:pt>
              <c:pt idx="24">
                <c:v>INGENIERÍA ELÉCTRICA</c:v>
              </c:pt>
              <c:pt idx="25">
                <c:v>INGENIERÍA EN INDUSTRIAS ALIMENTARIAS</c:v>
              </c:pt>
              <c:pt idx="26">
                <c:v>INGENIERÍA EN INDUSTRIAS ALIMENTARIAS TROPICAL</c:v>
              </c:pt>
              <c:pt idx="27">
                <c:v>INGENIERÍA FORESTAL TROPICAL</c:v>
              </c:pt>
              <c:pt idx="28">
                <c:v>INGENIERÍA MECÁNICA</c:v>
              </c:pt>
              <c:pt idx="29">
                <c:v>INGENIERÍA METALÚRGICA Y DE MATERIALES</c:v>
              </c:pt>
              <c:pt idx="30">
                <c:v>INGENIERÍA QUÍMICA</c:v>
              </c:pt>
              <c:pt idx="31">
                <c:v>INGENIERÍA QUÍMICA AMBIENTAL</c:v>
              </c:pt>
              <c:pt idx="32">
                <c:v>INGENIERÍA QUÍMICA INDUSTRIAL</c:v>
              </c:pt>
              <c:pt idx="33">
                <c:v>MEDICINA HUMANA</c:v>
              </c:pt>
              <c:pt idx="34">
                <c:v>SOCIOLOGÍA</c:v>
              </c:pt>
              <c:pt idx="35">
                <c:v>TRABAJO SOCIAL</c:v>
              </c:pt>
              <c:pt idx="36">
                <c:v>ZOOTECNIA</c:v>
              </c:pt>
              <c:pt idx="37">
                <c:v>ZOOTECNIA TROPICAL</c:v>
              </c:pt>
            </c:strLit>
          </c:cat>
          <c:val>
            <c:numLit>
              <c:formatCode>General</c:formatCode>
              <c:ptCount val="38"/>
              <c:pt idx="0">
                <c:v>20</c:v>
              </c:pt>
              <c:pt idx="1">
                <c:v>2</c:v>
              </c:pt>
              <c:pt idx="2">
                <c:v>1</c:v>
              </c:pt>
              <c:pt idx="3">
                <c:v>7</c:v>
              </c:pt>
              <c:pt idx="4">
                <c:v>11</c:v>
              </c:pt>
              <c:pt idx="5">
                <c:v>6</c:v>
              </c:pt>
              <c:pt idx="6">
                <c:v>21</c:v>
              </c:pt>
              <c:pt idx="7">
                <c:v>11</c:v>
              </c:pt>
              <c:pt idx="8">
                <c:v>5</c:v>
              </c:pt>
              <c:pt idx="9">
                <c:v>16</c:v>
              </c:pt>
              <c:pt idx="10">
                <c:v>23</c:v>
              </c:pt>
              <c:pt idx="11">
                <c:v>23</c:v>
              </c:pt>
              <c:pt idx="12">
                <c:v>19</c:v>
              </c:pt>
              <c:pt idx="13">
                <c:v>0</c:v>
              </c:pt>
              <c:pt idx="14">
                <c:v>0</c:v>
              </c:pt>
              <c:pt idx="15">
                <c:v>6</c:v>
              </c:pt>
              <c:pt idx="16">
                <c:v>7</c:v>
              </c:pt>
              <c:pt idx="17">
                <c:v>6</c:v>
              </c:pt>
              <c:pt idx="18">
                <c:v>4</c:v>
              </c:pt>
              <c:pt idx="19">
                <c:v>10</c:v>
              </c:pt>
              <c:pt idx="20">
                <c:v>0</c:v>
              </c:pt>
              <c:pt idx="21">
                <c:v>37</c:v>
              </c:pt>
              <c:pt idx="22">
                <c:v>28</c:v>
              </c:pt>
              <c:pt idx="23">
                <c:v>20</c:v>
              </c:pt>
              <c:pt idx="24">
                <c:v>27</c:v>
              </c:pt>
              <c:pt idx="25">
                <c:v>7</c:v>
              </c:pt>
              <c:pt idx="26">
                <c:v>1</c:v>
              </c:pt>
              <c:pt idx="27">
                <c:v>2</c:v>
              </c:pt>
              <c:pt idx="28">
                <c:v>39</c:v>
              </c:pt>
              <c:pt idx="29">
                <c:v>36</c:v>
              </c:pt>
              <c:pt idx="30">
                <c:v>25</c:v>
              </c:pt>
              <c:pt idx="31">
                <c:v>13</c:v>
              </c:pt>
              <c:pt idx="32">
                <c:v>15</c:v>
              </c:pt>
              <c:pt idx="33">
                <c:v>5</c:v>
              </c:pt>
              <c:pt idx="34">
                <c:v>6</c:v>
              </c:pt>
              <c:pt idx="35">
                <c:v>0</c:v>
              </c:pt>
              <c:pt idx="36">
                <c:v>10</c:v>
              </c:pt>
              <c:pt idx="37">
                <c:v>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3D2-4099-BC41-4A247FE0C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92848"/>
        <c:axId val="297576528"/>
      </c:lineChart>
      <c:catAx>
        <c:axId val="29759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7576528"/>
        <c:crosses val="autoZero"/>
        <c:auto val="1"/>
        <c:lblAlgn val="ctr"/>
        <c:lblOffset val="100"/>
        <c:noMultiLvlLbl val="0"/>
      </c:catAx>
      <c:valAx>
        <c:axId val="2975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759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image" Target="../media/image13.png"/><Relationship Id="rId3" Type="http://schemas.openxmlformats.org/officeDocument/2006/relationships/chart" Target="../charts/chart1.xml"/><Relationship Id="rId7" Type="http://schemas.openxmlformats.org/officeDocument/2006/relationships/chart" Target="../charts/chart3.xml"/><Relationship Id="rId12" Type="http://schemas.openxmlformats.org/officeDocument/2006/relationships/image" Target="../media/image9.png"/><Relationship Id="rId17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5.xml"/><Relationship Id="rId10" Type="http://schemas.openxmlformats.org/officeDocument/2006/relationships/image" Target="../media/image7.png"/><Relationship Id="rId19" Type="http://schemas.openxmlformats.org/officeDocument/2006/relationships/image" Target="../media/image14.sv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84668</xdr:colOff>
      <xdr:row>0</xdr:row>
      <xdr:rowOff>78000</xdr:rowOff>
    </xdr:from>
    <xdr:to>
      <xdr:col>12</xdr:col>
      <xdr:colOff>192314</xdr:colOff>
      <xdr:row>24</xdr:row>
      <xdr:rowOff>84668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6DC9D20-89CC-497C-AF46-3A302A1F71EB}"/>
            </a:ext>
          </a:extLst>
        </xdr:cNvPr>
        <xdr:cNvSpPr/>
      </xdr:nvSpPr>
      <xdr:spPr>
        <a:xfrm>
          <a:off x="84668" y="78000"/>
          <a:ext cx="9617406" cy="4395788"/>
        </a:xfrm>
        <a:prstGeom prst="roundRect">
          <a:avLst>
            <a:gd name="adj" fmla="val 486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110969</xdr:colOff>
      <xdr:row>16</xdr:row>
      <xdr:rowOff>85647</xdr:rowOff>
    </xdr:from>
    <xdr:to>
      <xdr:col>9</xdr:col>
      <xdr:colOff>110969</xdr:colOff>
      <xdr:row>23</xdr:row>
      <xdr:rowOff>157438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2596A92-ABF3-4607-8F5B-64D7C0A5F81B}"/>
            </a:ext>
          </a:extLst>
        </xdr:cNvPr>
        <xdr:cNvSpPr/>
      </xdr:nvSpPr>
      <xdr:spPr>
        <a:xfrm>
          <a:off x="5658329" y="3011727"/>
          <a:ext cx="1584960" cy="1351951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217964</xdr:colOff>
      <xdr:row>16</xdr:row>
      <xdr:rowOff>66754</xdr:rowOff>
    </xdr:from>
    <xdr:to>
      <xdr:col>12</xdr:col>
      <xdr:colOff>34519</xdr:colOff>
      <xdr:row>23</xdr:row>
      <xdr:rowOff>138545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1810022-F1EF-48BA-9B8C-AE90DA710146}"/>
            </a:ext>
          </a:extLst>
        </xdr:cNvPr>
        <xdr:cNvSpPr/>
      </xdr:nvSpPr>
      <xdr:spPr>
        <a:xfrm>
          <a:off x="7350284" y="2992834"/>
          <a:ext cx="2193995" cy="1351951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65588</xdr:colOff>
      <xdr:row>16</xdr:row>
      <xdr:rowOff>100840</xdr:rowOff>
    </xdr:from>
    <xdr:to>
      <xdr:col>7</xdr:col>
      <xdr:colOff>8659</xdr:colOff>
      <xdr:row>23</xdr:row>
      <xdr:rowOff>165703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CFAE2F9-1516-422A-9707-7BBC56F48019}"/>
            </a:ext>
          </a:extLst>
        </xdr:cNvPr>
        <xdr:cNvSpPr/>
      </xdr:nvSpPr>
      <xdr:spPr>
        <a:xfrm>
          <a:off x="2443028" y="3026920"/>
          <a:ext cx="3112991" cy="1345023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92110</xdr:colOff>
      <xdr:row>0</xdr:row>
      <xdr:rowOff>78828</xdr:rowOff>
    </xdr:from>
    <xdr:to>
      <xdr:col>12</xdr:col>
      <xdr:colOff>29158</xdr:colOff>
      <xdr:row>5</xdr:row>
      <xdr:rowOff>35193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EB8E36E0-10D8-49F0-AD8C-974975658A71}"/>
            </a:ext>
          </a:extLst>
        </xdr:cNvPr>
        <xdr:cNvSpPr/>
      </xdr:nvSpPr>
      <xdr:spPr>
        <a:xfrm>
          <a:off x="2469550" y="78828"/>
          <a:ext cx="7069368" cy="870765"/>
        </a:xfrm>
        <a:prstGeom prst="rect">
          <a:avLst/>
        </a:prstGeom>
        <a:solidFill>
          <a:srgbClr val="C5992E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ln>
              <a:solidFill>
                <a:srgbClr val="1A1A1A"/>
              </a:solidFill>
            </a:ln>
          </a:endParaRPr>
        </a:p>
      </xdr:txBody>
    </xdr:sp>
    <xdr:clientData/>
  </xdr:twoCellAnchor>
  <xdr:twoCellAnchor>
    <xdr:from>
      <xdr:col>3</xdr:col>
      <xdr:colOff>112889</xdr:colOff>
      <xdr:row>4</xdr:row>
      <xdr:rowOff>91722</xdr:rowOff>
    </xdr:from>
    <xdr:to>
      <xdr:col>5</xdr:col>
      <xdr:colOff>112890</xdr:colOff>
      <xdr:row>8</xdr:row>
      <xdr:rowOff>91722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7EC50833-9550-4929-993F-65405B57D3F9}"/>
            </a:ext>
          </a:extLst>
        </xdr:cNvPr>
        <xdr:cNvSpPr/>
      </xdr:nvSpPr>
      <xdr:spPr>
        <a:xfrm>
          <a:off x="2490329" y="823242"/>
          <a:ext cx="1584961" cy="731520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484910</xdr:colOff>
      <xdr:row>9</xdr:row>
      <xdr:rowOff>1</xdr:rowOff>
    </xdr:from>
    <xdr:to>
      <xdr:col>12</xdr:col>
      <xdr:colOff>44082</xdr:colOff>
      <xdr:row>16</xdr:row>
      <xdr:rowOff>25190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1DA674F-3F3F-4442-9840-E31B4909167F}"/>
            </a:ext>
          </a:extLst>
        </xdr:cNvPr>
        <xdr:cNvSpPr/>
      </xdr:nvSpPr>
      <xdr:spPr>
        <a:xfrm>
          <a:off x="6032270" y="1645921"/>
          <a:ext cx="3521572" cy="1305349"/>
        </a:xfrm>
        <a:prstGeom prst="roundRect">
          <a:avLst>
            <a:gd name="adj" fmla="val 3648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50800</xdr:colOff>
      <xdr:row>0</xdr:row>
      <xdr:rowOff>152639</xdr:rowOff>
    </xdr:from>
    <xdr:to>
      <xdr:col>11</xdr:col>
      <xdr:colOff>754744</xdr:colOff>
      <xdr:row>4</xdr:row>
      <xdr:rowOff>76201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20A5BA19-49F8-4285-9E64-B9C9348FD470}"/>
            </a:ext>
          </a:extLst>
        </xdr:cNvPr>
        <xdr:cNvGrpSpPr/>
      </xdr:nvGrpSpPr>
      <xdr:grpSpPr>
        <a:xfrm>
          <a:off x="2654998" y="152639"/>
          <a:ext cx="6331021" cy="660441"/>
          <a:chOff x="1536834" y="155469"/>
          <a:chExt cx="4926411" cy="524769"/>
        </a:xfrm>
      </xdr:grpSpPr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9C615460-EC98-8269-1C9E-E71D80A643F6}"/>
              </a:ext>
            </a:extLst>
          </xdr:cNvPr>
          <xdr:cNvSpPr txBox="1"/>
        </xdr:nvSpPr>
        <xdr:spPr>
          <a:xfrm>
            <a:off x="1536834" y="155469"/>
            <a:ext cx="4926411" cy="1921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600" b="1">
                <a:solidFill>
                  <a:srgbClr val="003882"/>
                </a:solidFill>
              </a:rPr>
              <a:t>Dashboard de Análisis de Ingresantes – UNCP Periodo Académico 2025-II</a:t>
            </a:r>
            <a:endParaRPr lang="es-PE" sz="1600" b="1">
              <a:solidFill>
                <a:srgbClr val="003882"/>
              </a:solidFill>
              <a:latin typeface="sans-serif"/>
            </a:endParaRP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1475674C-9AAC-EACB-1D64-1D7AD58C73C3}"/>
              </a:ext>
            </a:extLst>
          </xdr:cNvPr>
          <xdr:cNvSpPr txBox="1"/>
        </xdr:nvSpPr>
        <xdr:spPr>
          <a:xfrm>
            <a:off x="1656105" y="296240"/>
            <a:ext cx="4782682" cy="383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000" b="0" i="0">
                <a:solidFill>
                  <a:srgbClr val="003882"/>
                </a:solidFill>
                <a:effectLst/>
                <a:latin typeface="sans-serif"/>
                <a:ea typeface="+mn-ea"/>
                <a:cs typeface="+mn-cs"/>
              </a:rPr>
              <a:t>Este proyecto tiene como objetivo analizar el conjunto de datos "Listado de Ingresantes al Periodo Académico 2025-II" de la Universidad Nacional del Centro del Perú (UNCP)</a:t>
            </a:r>
            <a:endParaRPr lang="es-PE" sz="1050" b="0">
              <a:solidFill>
                <a:srgbClr val="003882"/>
              </a:solidFill>
              <a:latin typeface="sans-serif"/>
            </a:endParaRPr>
          </a:p>
        </xdr:txBody>
      </xdr:sp>
    </xdr:grpSp>
    <xdr:clientData/>
  </xdr:twoCellAnchor>
  <xdr:oneCellAnchor>
    <xdr:from>
      <xdr:col>5</xdr:col>
      <xdr:colOff>190500</xdr:colOff>
      <xdr:row>3</xdr:row>
      <xdr:rowOff>172357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8B2124D-57B6-4B9F-A1BE-7675383C3C6F}"/>
            </a:ext>
          </a:extLst>
        </xdr:cNvPr>
        <xdr:cNvSpPr txBox="1"/>
      </xdr:nvSpPr>
      <xdr:spPr>
        <a:xfrm>
          <a:off x="4152900" y="7209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632826</xdr:colOff>
      <xdr:row>4</xdr:row>
      <xdr:rowOff>76259</xdr:rowOff>
    </xdr:from>
    <xdr:to>
      <xdr:col>5</xdr:col>
      <xdr:colOff>37386</xdr:colOff>
      <xdr:row>7</xdr:row>
      <xdr:rowOff>145327</xdr:rowOff>
    </xdr:to>
    <xdr:sp macro="" textlink="Analisis!B8">
      <xdr:nvSpPr>
        <xdr:cNvPr id="13" name="CuadroTexto 12">
          <a:extLst>
            <a:ext uri="{FF2B5EF4-FFF2-40B4-BE49-F238E27FC236}">
              <a16:creationId xmlns:a16="http://schemas.microsoft.com/office/drawing/2014/main" id="{18A038AA-BFF2-44FD-989F-35190AA6D5F9}"/>
            </a:ext>
          </a:extLst>
        </xdr:cNvPr>
        <xdr:cNvSpPr txBox="1"/>
      </xdr:nvSpPr>
      <xdr:spPr>
        <a:xfrm>
          <a:off x="3010266" y="807779"/>
          <a:ext cx="989520" cy="617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EFF93D9-E658-42AD-A164-96B6D62B559B}" type="TxLink">
            <a:rPr lang="en-US" sz="40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882</a:t>
          </a:fld>
          <a:endParaRPr lang="en-US" sz="115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65359</xdr:colOff>
      <xdr:row>4</xdr:row>
      <xdr:rowOff>85499</xdr:rowOff>
    </xdr:from>
    <xdr:ext cx="685698" cy="687036"/>
    <xdr:pic>
      <xdr:nvPicPr>
        <xdr:cNvPr id="14" name="Gráfico 13" descr="Cara de alien con relleno sólido">
          <a:extLst>
            <a:ext uri="{FF2B5EF4-FFF2-40B4-BE49-F238E27FC236}">
              <a16:creationId xmlns:a16="http://schemas.microsoft.com/office/drawing/2014/main" id="{ED53BA4E-2094-49D8-B074-09203293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2799" y="817019"/>
          <a:ext cx="685698" cy="687036"/>
        </a:xfrm>
        <a:prstGeom prst="rect">
          <a:avLst/>
        </a:prstGeom>
      </xdr:spPr>
    </xdr:pic>
    <xdr:clientData/>
  </xdr:oneCellAnchor>
  <xdr:twoCellAnchor>
    <xdr:from>
      <xdr:col>3</xdr:col>
      <xdr:colOff>455545</xdr:colOff>
      <xdr:row>7</xdr:row>
      <xdr:rowOff>22968</xdr:rowOff>
    </xdr:from>
    <xdr:to>
      <xdr:col>5</xdr:col>
      <xdr:colOff>173061</xdr:colOff>
      <xdr:row>8</xdr:row>
      <xdr:rowOff>71161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1BC3AE0-2838-407E-9EC6-B5EE23F8F171}"/>
            </a:ext>
          </a:extLst>
        </xdr:cNvPr>
        <xdr:cNvSpPr txBox="1"/>
      </xdr:nvSpPr>
      <xdr:spPr>
        <a:xfrm>
          <a:off x="2832985" y="1303128"/>
          <a:ext cx="1302476" cy="23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s-PE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de </a:t>
          </a:r>
          <a:r>
            <a:rPr lang="es-PE" sz="1100">
              <a:latin typeface="Times New Roman" panose="02020603050405020304" pitchFamily="18" charset="0"/>
              <a:cs typeface="Times New Roman" panose="02020603050405020304" pitchFamily="18" charset="0"/>
            </a:rPr>
            <a:t>Ingresantes</a:t>
          </a:r>
        </a:p>
      </xdr:txBody>
    </xdr:sp>
    <xdr:clientData/>
  </xdr:twoCellAnchor>
  <xdr:twoCellAnchor>
    <xdr:from>
      <xdr:col>3</xdr:col>
      <xdr:colOff>112889</xdr:colOff>
      <xdr:row>8</xdr:row>
      <xdr:rowOff>152400</xdr:rowOff>
    </xdr:from>
    <xdr:to>
      <xdr:col>7</xdr:col>
      <xdr:colOff>366889</xdr:colOff>
      <xdr:row>16</xdr:row>
      <xdr:rowOff>37785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27C6AD5F-182B-4A14-86F6-5EC203B606CA}"/>
            </a:ext>
          </a:extLst>
        </xdr:cNvPr>
        <xdr:cNvSpPr/>
      </xdr:nvSpPr>
      <xdr:spPr>
        <a:xfrm>
          <a:off x="2490329" y="1615440"/>
          <a:ext cx="3423920" cy="1348425"/>
        </a:xfrm>
        <a:prstGeom prst="roundRect">
          <a:avLst>
            <a:gd name="adj" fmla="val 3648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</xdr:col>
      <xdr:colOff>0</xdr:colOff>
      <xdr:row>13</xdr:row>
      <xdr:rowOff>1</xdr:rowOff>
    </xdr:from>
    <xdr:ext cx="1608536" cy="2027822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TIPO_ADMISION">
              <a:extLst>
                <a:ext uri="{FF2B5EF4-FFF2-40B4-BE49-F238E27FC236}">
                  <a16:creationId xmlns:a16="http://schemas.microsoft.com/office/drawing/2014/main" id="{7FC96585-A400-4086-B65A-C8D5690896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ADMIS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593" y="2411605"/>
              <a:ext cx="1608536" cy="20278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3</xdr:col>
      <xdr:colOff>120702</xdr:colOff>
      <xdr:row>9</xdr:row>
      <xdr:rowOff>150963</xdr:rowOff>
    </xdr:from>
    <xdr:to>
      <xdr:col>7</xdr:col>
      <xdr:colOff>360591</xdr:colOff>
      <xdr:row>16</xdr:row>
      <xdr:rowOff>50378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3908E13-68E0-4436-A368-FC9A004C0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185777</xdr:colOff>
      <xdr:row>18</xdr:row>
      <xdr:rowOff>47625</xdr:rowOff>
    </xdr:from>
    <xdr:to>
      <xdr:col>12</xdr:col>
      <xdr:colOff>95722</xdr:colOff>
      <xdr:row>24</xdr:row>
      <xdr:rowOff>17956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15B9F89-4A31-40E4-A365-28A9BD30C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1608536" cy="73979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SEXO 2">
              <a:extLst>
                <a:ext uri="{FF2B5EF4-FFF2-40B4-BE49-F238E27FC236}">
                  <a16:creationId xmlns:a16="http://schemas.microsoft.com/office/drawing/2014/main" id="{5324D4BB-2B10-490C-8274-BCBD2678EF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593" y="184220"/>
              <a:ext cx="1608536" cy="739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5</xdr:col>
      <xdr:colOff>345723</xdr:colOff>
      <xdr:row>4</xdr:row>
      <xdr:rowOff>91722</xdr:rowOff>
    </xdr:from>
    <xdr:to>
      <xdr:col>7</xdr:col>
      <xdr:colOff>345723</xdr:colOff>
      <xdr:row>8</xdr:row>
      <xdr:rowOff>91722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DE937B37-F528-4B0F-A1E3-83050A184A88}"/>
            </a:ext>
          </a:extLst>
        </xdr:cNvPr>
        <xdr:cNvSpPr/>
      </xdr:nvSpPr>
      <xdr:spPr>
        <a:xfrm>
          <a:off x="4308123" y="823242"/>
          <a:ext cx="1584960" cy="731520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141230</xdr:colOff>
      <xdr:row>4</xdr:row>
      <xdr:rowOff>66303</xdr:rowOff>
    </xdr:from>
    <xdr:to>
      <xdr:col>7</xdr:col>
      <xdr:colOff>352160</xdr:colOff>
      <xdr:row>7</xdr:row>
      <xdr:rowOff>137513</xdr:rowOff>
    </xdr:to>
    <xdr:sp macro="" textlink="Analisis!B53">
      <xdr:nvSpPr>
        <xdr:cNvPr id="22" name="CuadroTexto 21">
          <a:extLst>
            <a:ext uri="{FF2B5EF4-FFF2-40B4-BE49-F238E27FC236}">
              <a16:creationId xmlns:a16="http://schemas.microsoft.com/office/drawing/2014/main" id="{32A70401-198E-42C6-BC9C-37F0D6723ECA}"/>
            </a:ext>
          </a:extLst>
        </xdr:cNvPr>
        <xdr:cNvSpPr txBox="1"/>
      </xdr:nvSpPr>
      <xdr:spPr>
        <a:xfrm>
          <a:off x="4896110" y="797823"/>
          <a:ext cx="1003410" cy="619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74F970-5110-4E29-976A-61321A4A647A}" type="TxLink">
            <a:rPr lang="en-US" sz="40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38</a:t>
          </a:fld>
          <a:endParaRPr lang="en-US" sz="11500" b="1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514085</xdr:colOff>
      <xdr:row>7</xdr:row>
      <xdr:rowOff>30280</xdr:rowOff>
    </xdr:from>
    <xdr:to>
      <xdr:col>7</xdr:col>
      <xdr:colOff>396499</xdr:colOff>
      <xdr:row>8</xdr:row>
      <xdr:rowOff>78473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683CE223-1D92-4BD9-B864-EF8A9294134A}"/>
            </a:ext>
          </a:extLst>
        </xdr:cNvPr>
        <xdr:cNvSpPr txBox="1"/>
      </xdr:nvSpPr>
      <xdr:spPr>
        <a:xfrm>
          <a:off x="4476485" y="1310440"/>
          <a:ext cx="1467374" cy="23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>
              <a:latin typeface="Times New Roman" panose="02020603050405020304" pitchFamily="18" charset="0"/>
              <a:cs typeface="Times New Roman" panose="02020603050405020304" pitchFamily="18" charset="0"/>
            </a:rPr>
            <a:t>Cantidad de Escuelas</a:t>
          </a:r>
        </a:p>
      </xdr:txBody>
    </xdr:sp>
    <xdr:clientData/>
  </xdr:twoCellAnchor>
  <xdr:oneCellAnchor>
    <xdr:from>
      <xdr:col>5</xdr:col>
      <xdr:colOff>409231</xdr:colOff>
      <xdr:row>4</xdr:row>
      <xdr:rowOff>105833</xdr:rowOff>
    </xdr:from>
    <xdr:ext cx="643743" cy="592896"/>
    <xdr:pic>
      <xdr:nvPicPr>
        <xdr:cNvPr id="24" name="Gráfico 23" descr="Libros contorno">
          <a:extLst>
            <a:ext uri="{FF2B5EF4-FFF2-40B4-BE49-F238E27FC236}">
              <a16:creationId xmlns:a16="http://schemas.microsoft.com/office/drawing/2014/main" id="{643517F9-E7AE-4627-8603-28113123A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71631" y="837353"/>
          <a:ext cx="643743" cy="592896"/>
        </a:xfrm>
        <a:prstGeom prst="rect">
          <a:avLst/>
        </a:prstGeom>
      </xdr:spPr>
    </xdr:pic>
    <xdr:clientData/>
  </xdr:oneCellAnchor>
  <xdr:twoCellAnchor>
    <xdr:from>
      <xdr:col>7</xdr:col>
      <xdr:colOff>572912</xdr:colOff>
      <xdr:row>4</xdr:row>
      <xdr:rowOff>91722</xdr:rowOff>
    </xdr:from>
    <xdr:to>
      <xdr:col>9</xdr:col>
      <xdr:colOff>572912</xdr:colOff>
      <xdr:row>8</xdr:row>
      <xdr:rowOff>91723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242C6113-6B55-4F27-A508-B951E4D5E3B7}"/>
            </a:ext>
          </a:extLst>
        </xdr:cNvPr>
        <xdr:cNvSpPr/>
      </xdr:nvSpPr>
      <xdr:spPr>
        <a:xfrm>
          <a:off x="6120272" y="823242"/>
          <a:ext cx="1584960" cy="731521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26452</xdr:colOff>
      <xdr:row>18</xdr:row>
      <xdr:rowOff>25190</xdr:rowOff>
    </xdr:from>
    <xdr:to>
      <xdr:col>9</xdr:col>
      <xdr:colOff>164997</xdr:colOff>
      <xdr:row>24</xdr:row>
      <xdr:rowOff>23930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3AD88A8-5022-4ADF-B83D-96E730BF8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</xdr:col>
      <xdr:colOff>78788</xdr:colOff>
      <xdr:row>12</xdr:row>
      <xdr:rowOff>151692</xdr:rowOff>
    </xdr:from>
    <xdr:ext cx="239904" cy="245775"/>
    <xdr:pic>
      <xdr:nvPicPr>
        <xdr:cNvPr id="27" name="Gráfico 26" descr="Pluma de caligrafía contorno">
          <a:extLst>
            <a:ext uri="{FF2B5EF4-FFF2-40B4-BE49-F238E27FC236}">
              <a16:creationId xmlns:a16="http://schemas.microsoft.com/office/drawing/2014/main" id="{41D5DDEA-4357-4595-B7C8-1F8B1F575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71268" y="2346252"/>
          <a:ext cx="239904" cy="245775"/>
        </a:xfrm>
        <a:prstGeom prst="rect">
          <a:avLst/>
        </a:prstGeom>
      </xdr:spPr>
    </xdr:pic>
    <xdr:clientData/>
  </xdr:oneCellAnchor>
  <xdr:twoCellAnchor>
    <xdr:from>
      <xdr:col>9</xdr:col>
      <xdr:colOff>802922</xdr:colOff>
      <xdr:row>4</xdr:row>
      <xdr:rowOff>91722</xdr:rowOff>
    </xdr:from>
    <xdr:to>
      <xdr:col>11</xdr:col>
      <xdr:colOff>802923</xdr:colOff>
      <xdr:row>8</xdr:row>
      <xdr:rowOff>91722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A830F08-7E51-4EAF-A38D-9E4718F3B6D9}"/>
            </a:ext>
          </a:extLst>
        </xdr:cNvPr>
        <xdr:cNvSpPr/>
      </xdr:nvSpPr>
      <xdr:spPr>
        <a:xfrm>
          <a:off x="7927622" y="823242"/>
          <a:ext cx="1584961" cy="731520"/>
        </a:xfrm>
        <a:prstGeom prst="roundRect">
          <a:avLst>
            <a:gd name="adj" fmla="val 6522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412555</xdr:colOff>
      <xdr:row>4</xdr:row>
      <xdr:rowOff>74657</xdr:rowOff>
    </xdr:from>
    <xdr:to>
      <xdr:col>9</xdr:col>
      <xdr:colOff>622588</xdr:colOff>
      <xdr:row>7</xdr:row>
      <xdr:rowOff>145867</xdr:rowOff>
    </xdr:to>
    <xdr:sp macro="" textlink="Analisis!C68">
      <xdr:nvSpPr>
        <xdr:cNvPr id="29" name="CuadroTexto 28">
          <a:extLst>
            <a:ext uri="{FF2B5EF4-FFF2-40B4-BE49-F238E27FC236}">
              <a16:creationId xmlns:a16="http://schemas.microsoft.com/office/drawing/2014/main" id="{593DBD6E-9474-4811-B797-428D581D600B}"/>
            </a:ext>
          </a:extLst>
        </xdr:cNvPr>
        <xdr:cNvSpPr txBox="1"/>
      </xdr:nvSpPr>
      <xdr:spPr>
        <a:xfrm>
          <a:off x="6752395" y="806177"/>
          <a:ext cx="1002513" cy="619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6E6C70D-391B-4E1C-9FA1-4AE2B978DDBB}" type="TxLink">
            <a:rPr lang="en-US" sz="40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10</a:t>
          </a:fld>
          <a:endParaRPr lang="en-US" sz="4000" b="1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151070</xdr:colOff>
      <xdr:row>7</xdr:row>
      <xdr:rowOff>40817</xdr:rowOff>
    </xdr:from>
    <xdr:to>
      <xdr:col>10</xdr:col>
      <xdr:colOff>33485</xdr:colOff>
      <xdr:row>8</xdr:row>
      <xdr:rowOff>89010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F18A257-6503-4C78-9068-D4E487088262}"/>
            </a:ext>
          </a:extLst>
        </xdr:cNvPr>
        <xdr:cNvSpPr txBox="1"/>
      </xdr:nvSpPr>
      <xdr:spPr>
        <a:xfrm>
          <a:off x="6490910" y="1320977"/>
          <a:ext cx="1467375" cy="23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>
              <a:latin typeface="Times New Roman" panose="02020603050405020304" pitchFamily="18" charset="0"/>
              <a:cs typeface="Times New Roman" panose="02020603050405020304" pitchFamily="18" charset="0"/>
            </a:rPr>
            <a:t>Modalidades</a:t>
          </a:r>
        </a:p>
      </xdr:txBody>
    </xdr:sp>
    <xdr:clientData/>
  </xdr:twoCellAnchor>
  <xdr:oneCellAnchor>
    <xdr:from>
      <xdr:col>10</xdr:col>
      <xdr:colOff>56297</xdr:colOff>
      <xdr:row>4</xdr:row>
      <xdr:rowOff>153616</xdr:rowOff>
    </xdr:from>
    <xdr:ext cx="604103" cy="611284"/>
    <xdr:pic>
      <xdr:nvPicPr>
        <xdr:cNvPr id="31" name="Gráfico 30" descr="Dirigir dos pines por un camino contorno">
          <a:extLst>
            <a:ext uri="{FF2B5EF4-FFF2-40B4-BE49-F238E27FC236}">
              <a16:creationId xmlns:a16="http://schemas.microsoft.com/office/drawing/2014/main" id="{705CC15F-EA31-4386-B877-A49BB50B4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981097" y="885136"/>
          <a:ext cx="604103" cy="611284"/>
        </a:xfrm>
        <a:prstGeom prst="rect">
          <a:avLst/>
        </a:prstGeom>
      </xdr:spPr>
    </xdr:pic>
    <xdr:clientData/>
  </xdr:oneCellAnchor>
  <xdr:twoCellAnchor>
    <xdr:from>
      <xdr:col>10</xdr:col>
      <xdr:colOff>575664</xdr:colOff>
      <xdr:row>4</xdr:row>
      <xdr:rowOff>50938</xdr:rowOff>
    </xdr:from>
    <xdr:to>
      <xdr:col>11</xdr:col>
      <xdr:colOff>785698</xdr:colOff>
      <xdr:row>7</xdr:row>
      <xdr:rowOff>119377</xdr:rowOff>
    </xdr:to>
    <xdr:sp macro="" textlink="Analisis!B104">
      <xdr:nvSpPr>
        <xdr:cNvPr id="32" name="CuadroTexto 31">
          <a:extLst>
            <a:ext uri="{FF2B5EF4-FFF2-40B4-BE49-F238E27FC236}">
              <a16:creationId xmlns:a16="http://schemas.microsoft.com/office/drawing/2014/main" id="{021951AA-0A6E-431D-AAA8-A88E4182958A}"/>
            </a:ext>
          </a:extLst>
        </xdr:cNvPr>
        <xdr:cNvSpPr txBox="1"/>
      </xdr:nvSpPr>
      <xdr:spPr>
        <a:xfrm>
          <a:off x="8500464" y="782458"/>
          <a:ext cx="1002514" cy="617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5E12D93-B463-4A17-B32D-E58D3941CC49}" type="TxLink">
            <a:rPr lang="en-US" sz="40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10</a:t>
          </a:fld>
          <a:endParaRPr lang="en-US" sz="11500" b="1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358717</xdr:colOff>
      <xdr:row>7</xdr:row>
      <xdr:rowOff>5137</xdr:rowOff>
    </xdr:from>
    <xdr:to>
      <xdr:col>13</xdr:col>
      <xdr:colOff>48092</xdr:colOff>
      <xdr:row>8</xdr:row>
      <xdr:rowOff>53894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D674D1A4-1F39-4668-B86D-EB6B6564DE57}"/>
            </a:ext>
          </a:extLst>
        </xdr:cNvPr>
        <xdr:cNvSpPr txBox="1"/>
      </xdr:nvSpPr>
      <xdr:spPr>
        <a:xfrm>
          <a:off x="8283517" y="1285297"/>
          <a:ext cx="2066815" cy="231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>
              <a:latin typeface="Times New Roman" panose="02020603050405020304" pitchFamily="18" charset="0"/>
              <a:cs typeface="Times New Roman" panose="02020603050405020304" pitchFamily="18" charset="0"/>
            </a:rPr>
            <a:t>Departamentos</a:t>
          </a:r>
        </a:p>
      </xdr:txBody>
    </xdr:sp>
    <xdr:clientData/>
  </xdr:twoCellAnchor>
  <xdr:oneCellAnchor>
    <xdr:from>
      <xdr:col>3</xdr:col>
      <xdr:colOff>163328</xdr:colOff>
      <xdr:row>0</xdr:row>
      <xdr:rowOff>46903</xdr:rowOff>
    </xdr:from>
    <xdr:ext cx="773388" cy="785647"/>
    <xdr:pic>
      <xdr:nvPicPr>
        <xdr:cNvPr id="34" name="Gráfico 33" descr="Banco contorno">
          <a:extLst>
            <a:ext uri="{FF2B5EF4-FFF2-40B4-BE49-F238E27FC236}">
              <a16:creationId xmlns:a16="http://schemas.microsoft.com/office/drawing/2014/main" id="{4950DF85-8DB0-4A9B-973F-BDF6E534A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540768" y="46903"/>
          <a:ext cx="773388" cy="78564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</xdr:row>
      <xdr:rowOff>0</xdr:rowOff>
    </xdr:from>
    <xdr:ext cx="1608535" cy="1126026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DEPARTAMENTO 1">
              <a:extLst>
                <a:ext uri="{FF2B5EF4-FFF2-40B4-BE49-F238E27FC236}">
                  <a16:creationId xmlns:a16="http://schemas.microsoft.com/office/drawing/2014/main" id="{C03859E5-AFD3-4DE6-945B-3B6D1235F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594" y="1105319"/>
              <a:ext cx="1608535" cy="1126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3</xdr:col>
      <xdr:colOff>122753</xdr:colOff>
      <xdr:row>17</xdr:row>
      <xdr:rowOff>77459</xdr:rowOff>
    </xdr:from>
    <xdr:to>
      <xdr:col>7</xdr:col>
      <xdr:colOff>62975</xdr:colOff>
      <xdr:row>24</xdr:row>
      <xdr:rowOff>8186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A40F6930-3B2C-420A-B0B4-11854D299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460955</xdr:colOff>
      <xdr:row>9</xdr:row>
      <xdr:rowOff>88166</xdr:rowOff>
    </xdr:from>
    <xdr:to>
      <xdr:col>12</xdr:col>
      <xdr:colOff>25819</xdr:colOff>
      <xdr:row>16</xdr:row>
      <xdr:rowOff>62975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9DC4CE5-DDEA-4C91-B588-1A89C127D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34487</xdr:colOff>
      <xdr:row>8</xdr:row>
      <xdr:rowOff>132773</xdr:rowOff>
    </xdr:from>
    <xdr:to>
      <xdr:col>7</xdr:col>
      <xdr:colOff>464456</xdr:colOff>
      <xdr:row>10</xdr:row>
      <xdr:rowOff>15175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F2EE302E-5DD3-4F5F-8AAB-630706C93BC6}"/>
            </a:ext>
          </a:extLst>
        </xdr:cNvPr>
        <xdr:cNvSpPr txBox="1"/>
      </xdr:nvSpPr>
      <xdr:spPr>
        <a:xfrm>
          <a:off x="2411927" y="1595813"/>
          <a:ext cx="3599889" cy="24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b="0"/>
            <a:t>¿Qué escuelas registraron el mayor número de ingresantes?</a:t>
          </a:r>
          <a:endParaRPr lang="es-PE" sz="1100" b="0">
            <a:solidFill>
              <a:srgbClr val="1A1A1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734142</xdr:colOff>
      <xdr:row>8</xdr:row>
      <xdr:rowOff>161192</xdr:rowOff>
    </xdr:from>
    <xdr:to>
      <xdr:col>11</xdr:col>
      <xdr:colOff>658091</xdr:colOff>
      <xdr:row>10</xdr:row>
      <xdr:rowOff>42394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99385194-54AC-4B93-99BD-578BFEE65ED0}"/>
            </a:ext>
          </a:extLst>
        </xdr:cNvPr>
        <xdr:cNvSpPr txBox="1"/>
      </xdr:nvSpPr>
      <xdr:spPr>
        <a:xfrm>
          <a:off x="6281502" y="1624232"/>
          <a:ext cx="3093869" cy="246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/>
            <a:t>¿Cómo se distribuyen los ingresantes por sexo?</a:t>
          </a:r>
          <a:endParaRPr lang="es-PE" sz="1100" b="1">
            <a:solidFill>
              <a:srgbClr val="1A1A1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806082</xdr:colOff>
      <xdr:row>16</xdr:row>
      <xdr:rowOff>66876</xdr:rowOff>
    </xdr:from>
    <xdr:to>
      <xdr:col>7</xdr:col>
      <xdr:colOff>99579</xdr:colOff>
      <xdr:row>17</xdr:row>
      <xdr:rowOff>128187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3EDD43E0-58DF-4A7F-A150-36CEFADFB85B}"/>
            </a:ext>
          </a:extLst>
        </xdr:cNvPr>
        <xdr:cNvSpPr txBox="1"/>
      </xdr:nvSpPr>
      <xdr:spPr>
        <a:xfrm>
          <a:off x="2375802" y="2992956"/>
          <a:ext cx="3271137" cy="244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/>
            <a:t>¿De qué departamentos provienen los ingresantes?</a:t>
          </a:r>
          <a:endParaRPr lang="es-PE" sz="1200" b="1">
            <a:solidFill>
              <a:srgbClr val="1A1A1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23806</xdr:colOff>
      <xdr:row>16</xdr:row>
      <xdr:rowOff>80172</xdr:rowOff>
    </xdr:from>
    <xdr:to>
      <xdr:col>9</xdr:col>
      <xdr:colOff>207818</xdr:colOff>
      <xdr:row>19</xdr:row>
      <xdr:rowOff>12596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FBAD18FF-4957-478F-8A8B-3BA05D9E099A}"/>
            </a:ext>
          </a:extLst>
        </xdr:cNvPr>
        <xdr:cNvSpPr txBox="1"/>
      </xdr:nvSpPr>
      <xdr:spPr>
        <a:xfrm>
          <a:off x="5571166" y="3006252"/>
          <a:ext cx="1768972" cy="481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0">
              <a:solidFill>
                <a:srgbClr val="1A1A1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Proporcion</a:t>
          </a:r>
          <a:r>
            <a:rPr lang="es-PE" sz="1100" b="0" baseline="0">
              <a:solidFill>
                <a:srgbClr val="1A1A1A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de Ingresantes por Género</a:t>
          </a:r>
          <a:endParaRPr lang="es-PE" sz="1100" b="0">
            <a:solidFill>
              <a:srgbClr val="1A1A1A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163183</xdr:colOff>
      <xdr:row>16</xdr:row>
      <xdr:rowOff>59359</xdr:rowOff>
    </xdr:from>
    <xdr:to>
      <xdr:col>12</xdr:col>
      <xdr:colOff>4492</xdr:colOff>
      <xdr:row>18</xdr:row>
      <xdr:rowOff>158150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431A0F3A-F891-4D3E-A36F-52F349291819}"/>
            </a:ext>
          </a:extLst>
        </xdr:cNvPr>
        <xdr:cNvSpPr txBox="1"/>
      </xdr:nvSpPr>
      <xdr:spPr>
        <a:xfrm>
          <a:off x="7295503" y="2985439"/>
          <a:ext cx="2218749" cy="464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¿Cuál fue la modalidad de admisión predominante?</a:t>
          </a:r>
          <a:endParaRPr lang="es-PE">
            <a:effectLst/>
          </a:endParaRPr>
        </a:p>
      </xdr:txBody>
    </xdr:sp>
    <xdr:clientData/>
  </xdr:twoCellAnchor>
  <xdr:twoCellAnchor>
    <xdr:from>
      <xdr:col>1</xdr:col>
      <xdr:colOff>2608</xdr:colOff>
      <xdr:row>0</xdr:row>
      <xdr:rowOff>173457</xdr:rowOff>
    </xdr:from>
    <xdr:to>
      <xdr:col>2</xdr:col>
      <xdr:colOff>183916</xdr:colOff>
      <xdr:row>2</xdr:row>
      <xdr:rowOff>66708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8BEEB50-8FDD-4E8A-8E98-60DF04E340B2}"/>
            </a:ext>
          </a:extLst>
        </xdr:cNvPr>
        <xdr:cNvSpPr txBox="1"/>
      </xdr:nvSpPr>
      <xdr:spPr>
        <a:xfrm>
          <a:off x="795088" y="173457"/>
          <a:ext cx="973788" cy="259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>
              <a:latin typeface="sans-serif"/>
              <a:cs typeface="Times New Roman" panose="02020603050405020304" pitchFamily="18" charset="0"/>
            </a:rPr>
            <a:t>Sexo</a:t>
          </a:r>
          <a:endParaRPr lang="es-PE" sz="1400">
            <a:latin typeface="sans-serif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86276</xdr:colOff>
      <xdr:row>1</xdr:row>
      <xdr:rowOff>26839</xdr:rowOff>
    </xdr:from>
    <xdr:ext cx="193506" cy="198710"/>
    <xdr:pic>
      <xdr:nvPicPr>
        <xdr:cNvPr id="44" name="Gráfico 43" descr="Género con relleno sólido">
          <a:extLst>
            <a:ext uri="{FF2B5EF4-FFF2-40B4-BE49-F238E27FC236}">
              <a16:creationId xmlns:a16="http://schemas.microsoft.com/office/drawing/2014/main" id="{EE789A01-50B6-4D24-A9A1-7052A8CD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78756" y="209719"/>
          <a:ext cx="193506" cy="198710"/>
        </a:xfrm>
        <a:prstGeom prst="rect">
          <a:avLst/>
        </a:prstGeom>
      </xdr:spPr>
    </xdr:pic>
    <xdr:clientData/>
  </xdr:oneCellAnchor>
  <xdr:oneCellAnchor>
    <xdr:from>
      <xdr:col>1</xdr:col>
      <xdr:colOff>3543</xdr:colOff>
      <xdr:row>6</xdr:row>
      <xdr:rowOff>14640</xdr:rowOff>
    </xdr:from>
    <xdr:ext cx="230143" cy="230782"/>
    <xdr:pic>
      <xdr:nvPicPr>
        <xdr:cNvPr id="45" name="Gráfico 44" descr="Avión con relleno sólido">
          <a:extLst>
            <a:ext uri="{FF2B5EF4-FFF2-40B4-BE49-F238E27FC236}">
              <a16:creationId xmlns:a16="http://schemas.microsoft.com/office/drawing/2014/main" id="{B2D1C935-8606-442C-B174-90643C2BE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796023" y="1111920"/>
          <a:ext cx="230143" cy="230782"/>
        </a:xfrm>
        <a:prstGeom prst="rect">
          <a:avLst/>
        </a:prstGeom>
      </xdr:spPr>
    </xdr:pic>
    <xdr:clientData/>
  </xdr:oneCellAnchor>
  <xdr:twoCellAnchor>
    <xdr:from>
      <xdr:col>1</xdr:col>
      <xdr:colOff>123273</xdr:colOff>
      <xdr:row>6</xdr:row>
      <xdr:rowOff>102</xdr:rowOff>
    </xdr:from>
    <xdr:to>
      <xdr:col>2</xdr:col>
      <xdr:colOff>304581</xdr:colOff>
      <xdr:row>7</xdr:row>
      <xdr:rowOff>76233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765897E5-3232-4EE7-B7B4-DCFE6D9BE465}"/>
            </a:ext>
          </a:extLst>
        </xdr:cNvPr>
        <xdr:cNvSpPr txBox="1"/>
      </xdr:nvSpPr>
      <xdr:spPr>
        <a:xfrm>
          <a:off x="915753" y="1097382"/>
          <a:ext cx="973788" cy="259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>
              <a:latin typeface="sans-serif"/>
              <a:cs typeface="Times New Roman" panose="02020603050405020304" pitchFamily="18" charset="0"/>
            </a:rPr>
            <a:t>Departamento</a:t>
          </a:r>
        </a:p>
      </xdr:txBody>
    </xdr:sp>
    <xdr:clientData/>
  </xdr:twoCellAnchor>
  <xdr:twoCellAnchor>
    <xdr:from>
      <xdr:col>1</xdr:col>
      <xdr:colOff>135433</xdr:colOff>
      <xdr:row>12</xdr:row>
      <xdr:rowOff>161095</xdr:rowOff>
    </xdr:from>
    <xdr:to>
      <xdr:col>2</xdr:col>
      <xdr:colOff>316741</xdr:colOff>
      <xdr:row>14</xdr:row>
      <xdr:rowOff>54832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F2050887-3903-46BB-BD0A-89AB7C5E4B62}"/>
            </a:ext>
          </a:extLst>
        </xdr:cNvPr>
        <xdr:cNvSpPr txBox="1"/>
      </xdr:nvSpPr>
      <xdr:spPr>
        <a:xfrm>
          <a:off x="927913" y="2355655"/>
          <a:ext cx="973788" cy="2594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>
              <a:latin typeface="sans-serif"/>
              <a:cs typeface="Times New Roman" panose="02020603050405020304" pitchFamily="18" charset="0"/>
            </a:rPr>
            <a:t>Modalidad</a:t>
          </a:r>
        </a:p>
      </xdr:txBody>
    </xdr:sp>
    <xdr:clientData/>
  </xdr:twoCellAnchor>
  <xdr:oneCellAnchor>
    <xdr:from>
      <xdr:col>7</xdr:col>
      <xdr:colOff>643029</xdr:colOff>
      <xdr:row>4</xdr:row>
      <xdr:rowOff>130728</xdr:rowOff>
    </xdr:from>
    <xdr:ext cx="684282" cy="700185"/>
    <xdr:pic>
      <xdr:nvPicPr>
        <xdr:cNvPr id="48" name="Gráfico 47" descr="Pluma de caligrafía contorno">
          <a:extLst>
            <a:ext uri="{FF2B5EF4-FFF2-40B4-BE49-F238E27FC236}">
              <a16:creationId xmlns:a16="http://schemas.microsoft.com/office/drawing/2014/main" id="{6B35DF0F-C5F8-47CD-A289-894FFEAF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190389" y="862248"/>
          <a:ext cx="684282" cy="70018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a Davila" refreshedDate="46224.552584375" createdVersion="8" refreshedVersion="8" minRefreshableVersion="3" recordCount="882" xr:uid="{ACA8DDDA-E988-4626-9722-98446CA8CF9C}">
  <cacheSource type="worksheet">
    <worksheetSource name="INGRESANTES_2025_2_0__BASE_DE_DATOS_1"/>
  </cacheSource>
  <cacheFields count="7">
    <cacheField name="FECHA_CORTE" numFmtId="14">
      <sharedItems containsSemiMixedTypes="0" containsNonDate="0" containsDate="1" containsString="0" minDate="2026-05-27T00:00:00" maxDate="2026-05-28T00:00:00"/>
    </cacheField>
    <cacheField name="DEPARTAMENTO" numFmtId="0">
      <sharedItems count="10">
        <s v="JUNIN"/>
        <s v="HUANCAVELICA"/>
        <s v="LIMA"/>
        <s v="AYACUCHO"/>
        <s v="PASCO"/>
        <s v="APURIMAC"/>
        <s v="UCAYALI"/>
        <s v="CALLAO"/>
        <s v="ICA"/>
        <s v="HUANUCO"/>
      </sharedItems>
    </cacheField>
    <cacheField name="PROVINCIA" numFmtId="0">
      <sharedItems/>
    </cacheField>
    <cacheField name="DISTRITO" numFmtId="0">
      <sharedItems/>
    </cacheField>
    <cacheField name="TIPO_ADMISION" numFmtId="0">
      <sharedItems count="10">
        <s v="CEPRE ADMISION"/>
        <s v="NORMAL ORDINARIO"/>
        <s v="SEGUNDA CARRERA"/>
        <s v="HIJO DE COMUNEROS"/>
        <s v="PRIMEROS PUESTOS"/>
        <s v="AFECTADOS POR LA VIOLENCIA SOCIAL"/>
        <s v="PERSONA CON DISCAPACIDAD"/>
        <s v="TRASLADO INTERNO"/>
        <s v="TRASLADO EXTERNO"/>
        <s v="DEPORTISTA DESTACADO"/>
      </sharedItems>
    </cacheField>
    <cacheField name="ESCUELA" numFmtId="0">
      <sharedItems count="38">
        <s v="CIENCIAS FORESTALES Y DEL AMBIENTE"/>
        <s v="CONTABILIDAD"/>
        <s v="DERECHO Y CIENCIAS POLÍTICAS"/>
        <s v="ECONOMÍA"/>
        <s v="EDUCACIÓN FISICA Y PSICOMOTRICIDAD"/>
        <s v="EDUCACIÓN INICIAL"/>
        <s v="EDUCACIÓN PRIMARIA"/>
        <s v="EDUCACIÓN SECUNDARIA: CIENCIAS MATEMÁTICAS E INFORMÁTICA"/>
        <s v="INGENIERÍA QUÍMICA"/>
        <s v="EDUCACION SECUNDARIA: CIENCIAS NATURALES Y AMBIENTALES"/>
        <s v="EDUCACIÓN SECUNDARIA: FILOSOFÍA, CIENCIAS SOCIALES Y RELACIONES HUMANAS"/>
        <s v="EDUCACIÓN SECUNDARIA: LENGUAS, LITERATURA Y COMUNICACIÓN"/>
        <s v="ENFERMERÍA"/>
        <s v="INGENIERÍA DE MINAS"/>
        <s v="INGENIERÍA AGROINDUSTRIAL"/>
        <s v="INGENIERÍA CIVIL"/>
        <s v="ADMINISTRACIÓN DE EMPRESAS"/>
        <s v="CIENCIAS DE LA COMUNICACIÓN"/>
        <s v="INGENIERÍA DE SISTEMAS"/>
        <s v="INGENIERÍA ELÉCTRICA"/>
        <s v="INGENIERÍA EN INDUSTRIAS ALIMENTARIAS"/>
        <s v="INGENIERÍA EN INDUSTRIAS ALIMENTARIAS TROPICAL"/>
        <s v="INGENIERÍA FORESTAL TROPICAL"/>
        <s v="INGENIERÍA MECÁNICA"/>
        <s v="INGENIERÍA METALÚRGICA Y DE MATERIALES"/>
        <s v="INGENIERÍA QUÍMICA AMBIENTAL"/>
        <s v="INGENIERÍA QUÍMICA INDUSTRIAL"/>
        <s v="MEDICINA HUMANA"/>
        <s v="SOCIOLOGÍA"/>
        <s v="TRABAJO SOCIAL"/>
        <s v="ZOOTECNIA"/>
        <s v="ZOOTECNIA TROPICAL"/>
        <s v="ADMINISTRACIÓN DE NEGOCIOS"/>
        <s v="ADMINISTRACIÓN HOTELERA Y TURISMO"/>
        <s v="AGRONOMÍA"/>
        <s v="AGRONOMÍA TROPICAL"/>
        <s v="ANTROPOLOGÍA"/>
        <s v="ARQUITECTURA"/>
      </sharedItems>
    </cacheField>
    <cacheField name="SEX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 pivotCacheId="4605191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">
  <r>
    <d v="2026-05-27T00:00:00"/>
    <x v="0"/>
    <s v="HUANCAYO"/>
    <s v="SICAYA"/>
    <x v="0"/>
    <x v="0"/>
    <x v="0"/>
  </r>
  <r>
    <d v="2026-05-27T00:00:00"/>
    <x v="0"/>
    <s v="JAUJA"/>
    <s v="HUERTAS"/>
    <x v="0"/>
    <x v="1"/>
    <x v="1"/>
  </r>
  <r>
    <d v="2026-05-27T00:00:00"/>
    <x v="0"/>
    <s v="HUANCAYO"/>
    <s v="HUANCAYO"/>
    <x v="0"/>
    <x v="1"/>
    <x v="0"/>
  </r>
  <r>
    <d v="2026-05-27T00:00:00"/>
    <x v="0"/>
    <s v="HUANCAYO"/>
    <s v="EL TAMBO"/>
    <x v="1"/>
    <x v="1"/>
    <x v="0"/>
  </r>
  <r>
    <d v="2026-05-27T00:00:00"/>
    <x v="0"/>
    <s v="CONCEPCION"/>
    <s v="CONCEPCION"/>
    <x v="1"/>
    <x v="1"/>
    <x v="0"/>
  </r>
  <r>
    <d v="2026-05-27T00:00:00"/>
    <x v="0"/>
    <s v="HUANCAYO"/>
    <s v="HUANCAYO"/>
    <x v="1"/>
    <x v="1"/>
    <x v="0"/>
  </r>
  <r>
    <d v="2026-05-27T00:00:00"/>
    <x v="0"/>
    <s v="HUANCAYO"/>
    <s v="EL TAMBO"/>
    <x v="1"/>
    <x v="1"/>
    <x v="1"/>
  </r>
  <r>
    <d v="2026-05-27T00:00:00"/>
    <x v="0"/>
    <s v="JAUJA"/>
    <s v="MARCO"/>
    <x v="0"/>
    <x v="1"/>
    <x v="1"/>
  </r>
  <r>
    <d v="2026-05-27T00:00:00"/>
    <x v="0"/>
    <s v="HUANCAYO"/>
    <s v="PUCARA"/>
    <x v="1"/>
    <x v="1"/>
    <x v="1"/>
  </r>
  <r>
    <d v="2026-05-27T00:00:00"/>
    <x v="0"/>
    <s v="HUANCAYO"/>
    <s v="CHILCA"/>
    <x v="1"/>
    <x v="1"/>
    <x v="0"/>
  </r>
  <r>
    <d v="2026-05-27T00:00:00"/>
    <x v="0"/>
    <s v="HUANCAYO"/>
    <s v="HUAYUCACHI"/>
    <x v="1"/>
    <x v="1"/>
    <x v="0"/>
  </r>
  <r>
    <d v="2026-05-27T00:00:00"/>
    <x v="0"/>
    <s v="HUANCAYO"/>
    <s v="CHILCA"/>
    <x v="0"/>
    <x v="1"/>
    <x v="0"/>
  </r>
  <r>
    <d v="2026-05-27T00:00:00"/>
    <x v="0"/>
    <s v="HUANCAYO"/>
    <s v="EL TAMBO"/>
    <x v="1"/>
    <x v="1"/>
    <x v="1"/>
  </r>
  <r>
    <d v="2026-05-27T00:00:00"/>
    <x v="0"/>
    <s v="HUANCAYO"/>
    <s v="EL TAMBO"/>
    <x v="1"/>
    <x v="1"/>
    <x v="0"/>
  </r>
  <r>
    <d v="2026-05-27T00:00:00"/>
    <x v="0"/>
    <s v="HUANCAYO"/>
    <s v="CHILCA"/>
    <x v="1"/>
    <x v="1"/>
    <x v="1"/>
  </r>
  <r>
    <d v="2026-05-27T00:00:00"/>
    <x v="0"/>
    <s v="HUANCAYO"/>
    <s v="SAN AGUSTIN"/>
    <x v="1"/>
    <x v="1"/>
    <x v="0"/>
  </r>
  <r>
    <d v="2026-05-27T00:00:00"/>
    <x v="0"/>
    <s v="HUANCAYO"/>
    <s v="SAPALLANGA"/>
    <x v="0"/>
    <x v="1"/>
    <x v="1"/>
  </r>
  <r>
    <d v="2026-05-27T00:00:00"/>
    <x v="0"/>
    <s v="CHUPACA"/>
    <s v="TRES DE DICIEMBRE"/>
    <x v="1"/>
    <x v="1"/>
    <x v="1"/>
  </r>
  <r>
    <d v="2026-05-27T00:00:00"/>
    <x v="0"/>
    <s v="HUANCAYO"/>
    <s v="SAN AGUSTIN"/>
    <x v="0"/>
    <x v="1"/>
    <x v="0"/>
  </r>
  <r>
    <d v="2026-05-27T00:00:00"/>
    <x v="0"/>
    <s v="HUANCAYO"/>
    <s v="CHILCA"/>
    <x v="0"/>
    <x v="1"/>
    <x v="1"/>
  </r>
  <r>
    <d v="2026-05-27T00:00:00"/>
    <x v="0"/>
    <s v="HUANCAYO"/>
    <s v="SANTO DOMINGO DE ACOBAMBA"/>
    <x v="1"/>
    <x v="1"/>
    <x v="1"/>
  </r>
  <r>
    <d v="2026-05-27T00:00:00"/>
    <x v="0"/>
    <s v="HUANCAYO"/>
    <s v="EL TAMBO"/>
    <x v="1"/>
    <x v="1"/>
    <x v="1"/>
  </r>
  <r>
    <d v="2026-05-27T00:00:00"/>
    <x v="0"/>
    <s v="CONCEPCION"/>
    <s v="CONCEPCION"/>
    <x v="0"/>
    <x v="1"/>
    <x v="1"/>
  </r>
  <r>
    <d v="2026-05-27T00:00:00"/>
    <x v="0"/>
    <s v="HUANCAYO"/>
    <s v="SAN AGUSTIN"/>
    <x v="1"/>
    <x v="1"/>
    <x v="0"/>
  </r>
  <r>
    <d v="2026-05-27T00:00:00"/>
    <x v="1"/>
    <s v="HUANCAVELICA"/>
    <s v="MOYA"/>
    <x v="0"/>
    <x v="1"/>
    <x v="0"/>
  </r>
  <r>
    <d v="2026-05-27T00:00:00"/>
    <x v="1"/>
    <s v="HUANCAVELICA"/>
    <s v="HUANCAVELICA"/>
    <x v="1"/>
    <x v="1"/>
    <x v="0"/>
  </r>
  <r>
    <d v="2026-05-27T00:00:00"/>
    <x v="1"/>
    <s v="HUANCAVELICA"/>
    <s v="IZCUCHACA"/>
    <x v="0"/>
    <x v="1"/>
    <x v="0"/>
  </r>
  <r>
    <d v="2026-05-27T00:00:00"/>
    <x v="0"/>
    <s v="HUANCAYO"/>
    <s v="EL TAMBO"/>
    <x v="1"/>
    <x v="1"/>
    <x v="0"/>
  </r>
  <r>
    <d v="2026-05-27T00:00:00"/>
    <x v="0"/>
    <s v="HUANCAYO"/>
    <s v="CHILCA"/>
    <x v="0"/>
    <x v="1"/>
    <x v="0"/>
  </r>
  <r>
    <d v="2026-05-27T00:00:00"/>
    <x v="0"/>
    <s v="HUANCAYO"/>
    <s v="HUAYUCACHI"/>
    <x v="1"/>
    <x v="1"/>
    <x v="1"/>
  </r>
  <r>
    <d v="2026-05-27T00:00:00"/>
    <x v="0"/>
    <s v="HUANCAYO"/>
    <s v="SAPALLANGA"/>
    <x v="1"/>
    <x v="1"/>
    <x v="1"/>
  </r>
  <r>
    <d v="2026-05-27T00:00:00"/>
    <x v="0"/>
    <s v="HUANCAYO"/>
    <s v="EL TAMBO"/>
    <x v="1"/>
    <x v="1"/>
    <x v="1"/>
  </r>
  <r>
    <d v="2026-05-27T00:00:00"/>
    <x v="0"/>
    <s v="HUANCAYO"/>
    <s v="CHILCA"/>
    <x v="1"/>
    <x v="1"/>
    <x v="1"/>
  </r>
  <r>
    <d v="2026-05-27T00:00:00"/>
    <x v="1"/>
    <s v="HUANCAVELICA"/>
    <s v="ACORIA"/>
    <x v="1"/>
    <x v="2"/>
    <x v="1"/>
  </r>
  <r>
    <d v="2026-05-27T00:00:00"/>
    <x v="0"/>
    <s v="HUANCAYO"/>
    <s v="HUALHUAS"/>
    <x v="1"/>
    <x v="2"/>
    <x v="0"/>
  </r>
  <r>
    <d v="2026-05-27T00:00:00"/>
    <x v="0"/>
    <s v="HUANCAYO"/>
    <s v="CHILCA"/>
    <x v="1"/>
    <x v="2"/>
    <x v="1"/>
  </r>
  <r>
    <d v="2026-05-27T00:00:00"/>
    <x v="0"/>
    <s v="HUANCAYO"/>
    <s v="HUANCAYO"/>
    <x v="2"/>
    <x v="2"/>
    <x v="1"/>
  </r>
  <r>
    <d v="2026-05-27T00:00:00"/>
    <x v="0"/>
    <s v="HUANCAYO"/>
    <s v="HUANCAYO"/>
    <x v="1"/>
    <x v="2"/>
    <x v="1"/>
  </r>
  <r>
    <d v="2026-05-27T00:00:00"/>
    <x v="0"/>
    <s v="HUANCAYO"/>
    <s v="HUANCAYO"/>
    <x v="1"/>
    <x v="2"/>
    <x v="0"/>
  </r>
  <r>
    <d v="2026-05-27T00:00:00"/>
    <x v="0"/>
    <s v="HUANCAYO"/>
    <s v="SAÑO"/>
    <x v="1"/>
    <x v="2"/>
    <x v="1"/>
  </r>
  <r>
    <d v="2026-05-27T00:00:00"/>
    <x v="1"/>
    <s v="TAYACAJA"/>
    <s v="ACOSTAMBO"/>
    <x v="1"/>
    <x v="2"/>
    <x v="0"/>
  </r>
  <r>
    <d v="2026-05-27T00:00:00"/>
    <x v="0"/>
    <s v="JAUJA"/>
    <s v="LLOCLLAPAMPA"/>
    <x v="1"/>
    <x v="2"/>
    <x v="0"/>
  </r>
  <r>
    <d v="2026-05-27T00:00:00"/>
    <x v="0"/>
    <s v="HUANCAYO"/>
    <s v="HUANCAYO"/>
    <x v="1"/>
    <x v="2"/>
    <x v="0"/>
  </r>
  <r>
    <d v="2026-05-27T00:00:00"/>
    <x v="1"/>
    <s v="TAYACAJA"/>
    <s v="SAN MARCOS DE ROCCHAC"/>
    <x v="3"/>
    <x v="2"/>
    <x v="0"/>
  </r>
  <r>
    <d v="2026-05-27T00:00:00"/>
    <x v="0"/>
    <s v="HUANCAYO"/>
    <s v="PILCOMAYO"/>
    <x v="0"/>
    <x v="2"/>
    <x v="0"/>
  </r>
  <r>
    <d v="2026-05-27T00:00:00"/>
    <x v="0"/>
    <s v="HUANCAYO"/>
    <s v="EL TAMBO"/>
    <x v="0"/>
    <x v="2"/>
    <x v="0"/>
  </r>
  <r>
    <d v="2026-05-27T00:00:00"/>
    <x v="0"/>
    <s v="HUANCAYO"/>
    <s v="CHILCA"/>
    <x v="0"/>
    <x v="2"/>
    <x v="1"/>
  </r>
  <r>
    <d v="2026-05-27T00:00:00"/>
    <x v="0"/>
    <s v="HUANCAYO"/>
    <s v="HUANCAYO"/>
    <x v="0"/>
    <x v="2"/>
    <x v="1"/>
  </r>
  <r>
    <d v="2026-05-27T00:00:00"/>
    <x v="0"/>
    <s v="HUANCAYO"/>
    <s v="HUANCAYO"/>
    <x v="1"/>
    <x v="2"/>
    <x v="1"/>
  </r>
  <r>
    <d v="2026-05-27T00:00:00"/>
    <x v="0"/>
    <s v="HUANCAYO"/>
    <s v="EL TAMBO"/>
    <x v="4"/>
    <x v="2"/>
    <x v="1"/>
  </r>
  <r>
    <d v="2026-05-27T00:00:00"/>
    <x v="0"/>
    <s v="CHUPACA"/>
    <s v="SAN JUAN DE ISCOS"/>
    <x v="3"/>
    <x v="2"/>
    <x v="0"/>
  </r>
  <r>
    <d v="2026-05-27T00:00:00"/>
    <x v="0"/>
    <s v="HUANCAYO"/>
    <s v="EL TAMBO"/>
    <x v="0"/>
    <x v="2"/>
    <x v="1"/>
  </r>
  <r>
    <d v="2026-05-27T00:00:00"/>
    <x v="0"/>
    <s v="HUANCAYO"/>
    <s v="CHILCA"/>
    <x v="5"/>
    <x v="2"/>
    <x v="1"/>
  </r>
  <r>
    <d v="2026-05-27T00:00:00"/>
    <x v="0"/>
    <s v="HUANCAYO"/>
    <s v="CHILCA"/>
    <x v="0"/>
    <x v="2"/>
    <x v="0"/>
  </r>
  <r>
    <d v="2026-05-27T00:00:00"/>
    <x v="0"/>
    <s v="JUNIN"/>
    <s v="JUNIN"/>
    <x v="1"/>
    <x v="2"/>
    <x v="1"/>
  </r>
  <r>
    <d v="2026-05-27T00:00:00"/>
    <x v="2"/>
    <s v="LIMA"/>
    <s v="SAN MARTIN DE PORRES"/>
    <x v="1"/>
    <x v="2"/>
    <x v="0"/>
  </r>
  <r>
    <d v="2026-05-27T00:00:00"/>
    <x v="0"/>
    <s v="HUANCAYO"/>
    <s v="HUANCAYO"/>
    <x v="0"/>
    <x v="2"/>
    <x v="0"/>
  </r>
  <r>
    <d v="2026-05-27T00:00:00"/>
    <x v="0"/>
    <s v="HUANCAYO"/>
    <s v="EL TAMBO"/>
    <x v="0"/>
    <x v="2"/>
    <x v="0"/>
  </r>
  <r>
    <d v="2026-05-27T00:00:00"/>
    <x v="0"/>
    <s v="HUANCAYO"/>
    <s v="EL TAMBO"/>
    <x v="0"/>
    <x v="2"/>
    <x v="0"/>
  </r>
  <r>
    <d v="2026-05-27T00:00:00"/>
    <x v="0"/>
    <s v="HUANCAYO"/>
    <s v="HUANCAYO"/>
    <x v="1"/>
    <x v="2"/>
    <x v="1"/>
  </r>
  <r>
    <d v="2026-05-27T00:00:00"/>
    <x v="0"/>
    <s v="HUANCAYO"/>
    <s v="HUANCAYO"/>
    <x v="1"/>
    <x v="2"/>
    <x v="1"/>
  </r>
  <r>
    <d v="2026-05-27T00:00:00"/>
    <x v="0"/>
    <s v="HUANCAYO"/>
    <s v="PILCOMAYO"/>
    <x v="0"/>
    <x v="2"/>
    <x v="1"/>
  </r>
  <r>
    <d v="2026-05-27T00:00:00"/>
    <x v="0"/>
    <s v="HUANCAYO"/>
    <s v="CHILCA"/>
    <x v="1"/>
    <x v="2"/>
    <x v="0"/>
  </r>
  <r>
    <d v="2026-05-27T00:00:00"/>
    <x v="0"/>
    <s v="CHANCHAMAYO"/>
    <s v="PICHANAQUI"/>
    <x v="1"/>
    <x v="2"/>
    <x v="1"/>
  </r>
  <r>
    <d v="2026-05-27T00:00:00"/>
    <x v="0"/>
    <s v="HUANCAYO"/>
    <s v="CHILCA"/>
    <x v="0"/>
    <x v="2"/>
    <x v="1"/>
  </r>
  <r>
    <d v="2026-05-27T00:00:00"/>
    <x v="3"/>
    <s v="HUAMANGA"/>
    <s v="JESUS NAZARENO"/>
    <x v="1"/>
    <x v="2"/>
    <x v="0"/>
  </r>
  <r>
    <d v="2026-05-27T00:00:00"/>
    <x v="0"/>
    <s v="HUANCAYO"/>
    <s v="HUANCAYO"/>
    <x v="1"/>
    <x v="2"/>
    <x v="1"/>
  </r>
  <r>
    <d v="2026-05-27T00:00:00"/>
    <x v="0"/>
    <s v="HUANCAYO"/>
    <s v="EL TAMBO"/>
    <x v="1"/>
    <x v="2"/>
    <x v="1"/>
  </r>
  <r>
    <d v="2026-05-27T00:00:00"/>
    <x v="0"/>
    <s v="HUANCAYO"/>
    <s v="HUANCAYO"/>
    <x v="1"/>
    <x v="2"/>
    <x v="1"/>
  </r>
  <r>
    <d v="2026-05-27T00:00:00"/>
    <x v="0"/>
    <s v="JAUJA"/>
    <s v="SINCOS"/>
    <x v="3"/>
    <x v="2"/>
    <x v="0"/>
  </r>
  <r>
    <d v="2026-05-27T00:00:00"/>
    <x v="0"/>
    <s v="HUANCAYO"/>
    <s v="HUANCAYO"/>
    <x v="1"/>
    <x v="2"/>
    <x v="0"/>
  </r>
  <r>
    <d v="2026-05-27T00:00:00"/>
    <x v="0"/>
    <s v="HUANCAYO"/>
    <s v="EL TAMBO"/>
    <x v="0"/>
    <x v="2"/>
    <x v="1"/>
  </r>
  <r>
    <d v="2026-05-27T00:00:00"/>
    <x v="0"/>
    <s v="HUANCAYO"/>
    <s v="HUASICANCHA"/>
    <x v="3"/>
    <x v="2"/>
    <x v="1"/>
  </r>
  <r>
    <d v="2026-05-27T00:00:00"/>
    <x v="0"/>
    <s v="CONCEPCION"/>
    <s v="CONCEPCION"/>
    <x v="1"/>
    <x v="3"/>
    <x v="1"/>
  </r>
  <r>
    <d v="2026-05-27T00:00:00"/>
    <x v="0"/>
    <s v="HUANCAYO"/>
    <s v="EL TAMBO"/>
    <x v="1"/>
    <x v="3"/>
    <x v="1"/>
  </r>
  <r>
    <d v="2026-05-27T00:00:00"/>
    <x v="0"/>
    <s v="CHUPACA"/>
    <s v="CHUPACA"/>
    <x v="1"/>
    <x v="3"/>
    <x v="0"/>
  </r>
  <r>
    <d v="2026-05-27T00:00:00"/>
    <x v="0"/>
    <s v="HUANCAYO"/>
    <s v="SAPALLANGA"/>
    <x v="1"/>
    <x v="3"/>
    <x v="1"/>
  </r>
  <r>
    <d v="2026-05-27T00:00:00"/>
    <x v="0"/>
    <s v="HUANCAYO"/>
    <s v="SAN AGUSTIN"/>
    <x v="0"/>
    <x v="3"/>
    <x v="1"/>
  </r>
  <r>
    <d v="2026-05-27T00:00:00"/>
    <x v="0"/>
    <s v="HUANCAYO"/>
    <s v="EL TAMBO"/>
    <x v="1"/>
    <x v="3"/>
    <x v="0"/>
  </r>
  <r>
    <d v="2026-05-27T00:00:00"/>
    <x v="0"/>
    <s v="HUANCAYO"/>
    <s v="CHILCA"/>
    <x v="1"/>
    <x v="3"/>
    <x v="0"/>
  </r>
  <r>
    <d v="2026-05-27T00:00:00"/>
    <x v="1"/>
    <s v="HUANCAVELICA"/>
    <s v="YAULI"/>
    <x v="0"/>
    <x v="3"/>
    <x v="0"/>
  </r>
  <r>
    <d v="2026-05-27T00:00:00"/>
    <x v="0"/>
    <s v="CONCEPCION"/>
    <s v="ORCOTUNA"/>
    <x v="1"/>
    <x v="3"/>
    <x v="1"/>
  </r>
  <r>
    <d v="2026-05-27T00:00:00"/>
    <x v="0"/>
    <s v="HUANCAYO"/>
    <s v="SAPALLANGA"/>
    <x v="0"/>
    <x v="3"/>
    <x v="1"/>
  </r>
  <r>
    <d v="2026-05-27T00:00:00"/>
    <x v="0"/>
    <s v="HUANCAYO"/>
    <s v="SAN AGUSTIN"/>
    <x v="1"/>
    <x v="3"/>
    <x v="1"/>
  </r>
  <r>
    <d v="2026-05-27T00:00:00"/>
    <x v="0"/>
    <s v="HUANCAYO"/>
    <s v="EL TAMBO"/>
    <x v="1"/>
    <x v="3"/>
    <x v="1"/>
  </r>
  <r>
    <d v="2026-05-27T00:00:00"/>
    <x v="0"/>
    <s v="JAUJA"/>
    <s v="POMACANCHA"/>
    <x v="1"/>
    <x v="3"/>
    <x v="0"/>
  </r>
  <r>
    <d v="2026-05-27T00:00:00"/>
    <x v="0"/>
    <s v="HUANCAYO"/>
    <s v="CHILCA"/>
    <x v="1"/>
    <x v="3"/>
    <x v="0"/>
  </r>
  <r>
    <d v="2026-05-27T00:00:00"/>
    <x v="1"/>
    <s v="HUANCAVELICA"/>
    <s v="MANTA"/>
    <x v="1"/>
    <x v="3"/>
    <x v="1"/>
  </r>
  <r>
    <d v="2026-05-27T00:00:00"/>
    <x v="0"/>
    <s v="HUANCAYO"/>
    <s v="HUANCAYO"/>
    <x v="1"/>
    <x v="3"/>
    <x v="0"/>
  </r>
  <r>
    <d v="2026-05-27T00:00:00"/>
    <x v="0"/>
    <s v="HUANCAYO"/>
    <s v="HUANCAYO"/>
    <x v="1"/>
    <x v="3"/>
    <x v="1"/>
  </r>
  <r>
    <d v="2026-05-27T00:00:00"/>
    <x v="0"/>
    <s v="HUANCAYO"/>
    <s v="CHILCA"/>
    <x v="1"/>
    <x v="3"/>
    <x v="0"/>
  </r>
  <r>
    <d v="2026-05-27T00:00:00"/>
    <x v="0"/>
    <s v="HUANCAYO"/>
    <s v="EL TAMBO"/>
    <x v="1"/>
    <x v="3"/>
    <x v="0"/>
  </r>
  <r>
    <d v="2026-05-27T00:00:00"/>
    <x v="0"/>
    <s v="HUANCAYO"/>
    <s v="HUANCAYO"/>
    <x v="0"/>
    <x v="3"/>
    <x v="1"/>
  </r>
  <r>
    <d v="2026-05-27T00:00:00"/>
    <x v="0"/>
    <s v="CONCEPCION"/>
    <s v="CHAMBARA"/>
    <x v="3"/>
    <x v="3"/>
    <x v="0"/>
  </r>
  <r>
    <d v="2026-05-27T00:00:00"/>
    <x v="0"/>
    <s v="HUANCAYO"/>
    <s v="EL TAMBO"/>
    <x v="0"/>
    <x v="3"/>
    <x v="0"/>
  </r>
  <r>
    <d v="2026-05-27T00:00:00"/>
    <x v="0"/>
    <s v="HUANCAYO"/>
    <s v="SAN AGUSTIN"/>
    <x v="1"/>
    <x v="3"/>
    <x v="1"/>
  </r>
  <r>
    <d v="2026-05-27T00:00:00"/>
    <x v="0"/>
    <s v="HUANCAYO"/>
    <s v="HUANCAYO"/>
    <x v="1"/>
    <x v="3"/>
    <x v="1"/>
  </r>
  <r>
    <d v="2026-05-27T00:00:00"/>
    <x v="0"/>
    <s v="HUANCAYO"/>
    <s v="HUANCAYO"/>
    <x v="0"/>
    <x v="3"/>
    <x v="0"/>
  </r>
  <r>
    <d v="2026-05-27T00:00:00"/>
    <x v="0"/>
    <s v="HUANCAYO"/>
    <s v="EL TAMBO"/>
    <x v="0"/>
    <x v="3"/>
    <x v="1"/>
  </r>
  <r>
    <d v="2026-05-27T00:00:00"/>
    <x v="0"/>
    <s v="HUANCAYO"/>
    <s v="HUANCAYO"/>
    <x v="0"/>
    <x v="3"/>
    <x v="0"/>
  </r>
  <r>
    <d v="2026-05-27T00:00:00"/>
    <x v="0"/>
    <s v="HUANCAYO"/>
    <s v="EL TAMBO"/>
    <x v="1"/>
    <x v="3"/>
    <x v="0"/>
  </r>
  <r>
    <d v="2026-05-27T00:00:00"/>
    <x v="0"/>
    <s v="CHUPACA"/>
    <s v="CHUPACA"/>
    <x v="1"/>
    <x v="3"/>
    <x v="1"/>
  </r>
  <r>
    <d v="2026-05-27T00:00:00"/>
    <x v="0"/>
    <s v="HUANCAYO"/>
    <s v="PILCOMAYO"/>
    <x v="0"/>
    <x v="3"/>
    <x v="1"/>
  </r>
  <r>
    <d v="2026-05-27T00:00:00"/>
    <x v="1"/>
    <s v="TAYACAJA"/>
    <s v="SAN MARCOS DE ROCCHAC"/>
    <x v="3"/>
    <x v="3"/>
    <x v="0"/>
  </r>
  <r>
    <d v="2026-05-27T00:00:00"/>
    <x v="0"/>
    <s v="HUANCAYO"/>
    <s v="CHILCA"/>
    <x v="0"/>
    <x v="3"/>
    <x v="0"/>
  </r>
  <r>
    <d v="2026-05-27T00:00:00"/>
    <x v="0"/>
    <s v="HUANCAYO"/>
    <s v="CHILCA"/>
    <x v="1"/>
    <x v="3"/>
    <x v="1"/>
  </r>
  <r>
    <d v="2026-05-27T00:00:00"/>
    <x v="0"/>
    <s v="HUANCAYO"/>
    <s v="CHILCA"/>
    <x v="1"/>
    <x v="3"/>
    <x v="1"/>
  </r>
  <r>
    <d v="2026-05-27T00:00:00"/>
    <x v="0"/>
    <s v="TARMA"/>
    <s v="TARMA"/>
    <x v="1"/>
    <x v="3"/>
    <x v="0"/>
  </r>
  <r>
    <d v="2026-05-27T00:00:00"/>
    <x v="0"/>
    <s v="HUANCAYO"/>
    <s v="HUANCAYO"/>
    <x v="1"/>
    <x v="3"/>
    <x v="0"/>
  </r>
  <r>
    <d v="2026-05-27T00:00:00"/>
    <x v="0"/>
    <s v="HUANCAYO"/>
    <s v="CHILCA"/>
    <x v="1"/>
    <x v="3"/>
    <x v="0"/>
  </r>
  <r>
    <d v="2026-05-27T00:00:00"/>
    <x v="0"/>
    <s v="SATIPO"/>
    <s v="PANGOA"/>
    <x v="1"/>
    <x v="3"/>
    <x v="1"/>
  </r>
  <r>
    <d v="2026-05-27T00:00:00"/>
    <x v="1"/>
    <s v="ACOBAMBA"/>
    <s v="PAUCARA"/>
    <x v="0"/>
    <x v="3"/>
    <x v="0"/>
  </r>
  <r>
    <d v="2026-05-27T00:00:00"/>
    <x v="0"/>
    <s v="TARMA"/>
    <s v="SAN PEDRO DE CAJAS"/>
    <x v="1"/>
    <x v="3"/>
    <x v="1"/>
  </r>
  <r>
    <d v="2026-05-27T00:00:00"/>
    <x v="0"/>
    <s v="HUANCAYO"/>
    <s v="HUANCAYO"/>
    <x v="1"/>
    <x v="3"/>
    <x v="0"/>
  </r>
  <r>
    <d v="2026-05-27T00:00:00"/>
    <x v="0"/>
    <s v="JAUJA"/>
    <s v="JAUJA"/>
    <x v="1"/>
    <x v="3"/>
    <x v="0"/>
  </r>
  <r>
    <d v="2026-05-27T00:00:00"/>
    <x v="0"/>
    <s v="HUANCAYO"/>
    <s v="EL TAMBO"/>
    <x v="0"/>
    <x v="3"/>
    <x v="1"/>
  </r>
  <r>
    <d v="2026-05-27T00:00:00"/>
    <x v="0"/>
    <s v="JAUJA"/>
    <s v="TUNAN MARCA"/>
    <x v="1"/>
    <x v="3"/>
    <x v="0"/>
  </r>
  <r>
    <d v="2026-05-27T00:00:00"/>
    <x v="0"/>
    <s v="HUANCAYO"/>
    <s v="CHILCA"/>
    <x v="0"/>
    <x v="3"/>
    <x v="0"/>
  </r>
  <r>
    <d v="2026-05-27T00:00:00"/>
    <x v="0"/>
    <s v="HUANCAYO"/>
    <s v="EL TAMBO"/>
    <x v="0"/>
    <x v="3"/>
    <x v="0"/>
  </r>
  <r>
    <d v="2026-05-27T00:00:00"/>
    <x v="0"/>
    <s v="HUANCAYO"/>
    <s v="SANTO DOMINGO DE ACOBAMBA"/>
    <x v="0"/>
    <x v="3"/>
    <x v="0"/>
  </r>
  <r>
    <d v="2026-05-27T00:00:00"/>
    <x v="0"/>
    <s v="HUANCAYO"/>
    <s v="EL TAMBO"/>
    <x v="0"/>
    <x v="3"/>
    <x v="1"/>
  </r>
  <r>
    <d v="2026-05-27T00:00:00"/>
    <x v="0"/>
    <s v="HUANCAYO"/>
    <s v="EL TAMBO"/>
    <x v="1"/>
    <x v="3"/>
    <x v="1"/>
  </r>
  <r>
    <d v="2026-05-27T00:00:00"/>
    <x v="0"/>
    <s v="JAUJA"/>
    <s v="PANCAN"/>
    <x v="1"/>
    <x v="4"/>
    <x v="1"/>
  </r>
  <r>
    <d v="2026-05-27T00:00:00"/>
    <x v="0"/>
    <s v="HUANCAYO"/>
    <s v="EL TAMBO"/>
    <x v="1"/>
    <x v="4"/>
    <x v="0"/>
  </r>
  <r>
    <d v="2026-05-27T00:00:00"/>
    <x v="0"/>
    <s v="HUANCAYO"/>
    <s v="CHILCA"/>
    <x v="1"/>
    <x v="4"/>
    <x v="1"/>
  </r>
  <r>
    <d v="2026-05-27T00:00:00"/>
    <x v="0"/>
    <s v="HUANCAYO"/>
    <s v="HUANCAYO"/>
    <x v="5"/>
    <x v="4"/>
    <x v="0"/>
  </r>
  <r>
    <d v="2026-05-27T00:00:00"/>
    <x v="1"/>
    <s v="TAYACAJA"/>
    <s v="HUARIBAMBA"/>
    <x v="3"/>
    <x v="4"/>
    <x v="1"/>
  </r>
  <r>
    <d v="2026-05-27T00:00:00"/>
    <x v="0"/>
    <s v="HUANCAYO"/>
    <s v="SAN JERONIMO DE TUNAN"/>
    <x v="1"/>
    <x v="4"/>
    <x v="1"/>
  </r>
  <r>
    <d v="2026-05-27T00:00:00"/>
    <x v="1"/>
    <s v="TAYACAJA"/>
    <s v="COLCABAMBA"/>
    <x v="1"/>
    <x v="4"/>
    <x v="1"/>
  </r>
  <r>
    <d v="2026-05-27T00:00:00"/>
    <x v="0"/>
    <s v="HUANCAYO"/>
    <s v="CHILCA"/>
    <x v="1"/>
    <x v="4"/>
    <x v="1"/>
  </r>
  <r>
    <d v="2026-05-27T00:00:00"/>
    <x v="4"/>
    <s v="OXAPAMPA"/>
    <s v="PUERTO BERMUDEZ"/>
    <x v="0"/>
    <x v="4"/>
    <x v="1"/>
  </r>
  <r>
    <d v="2026-05-27T00:00:00"/>
    <x v="0"/>
    <s v="HUANCAYO"/>
    <s v="HUANCAYO"/>
    <x v="1"/>
    <x v="4"/>
    <x v="1"/>
  </r>
  <r>
    <d v="2026-05-27T00:00:00"/>
    <x v="0"/>
    <s v="JAUJA"/>
    <s v="JAUJA"/>
    <x v="0"/>
    <x v="4"/>
    <x v="1"/>
  </r>
  <r>
    <d v="2026-05-27T00:00:00"/>
    <x v="1"/>
    <s v="TAYACAJA"/>
    <s v="PAZOS"/>
    <x v="0"/>
    <x v="4"/>
    <x v="1"/>
  </r>
  <r>
    <d v="2026-05-27T00:00:00"/>
    <x v="0"/>
    <s v="HUANCAYO"/>
    <s v="CHILCA"/>
    <x v="1"/>
    <x v="4"/>
    <x v="1"/>
  </r>
  <r>
    <d v="2026-05-27T00:00:00"/>
    <x v="0"/>
    <s v="HUANCAYO"/>
    <s v="CHUPURO"/>
    <x v="0"/>
    <x v="4"/>
    <x v="1"/>
  </r>
  <r>
    <d v="2026-05-27T00:00:00"/>
    <x v="0"/>
    <s v="JAUJA"/>
    <s v="PACCHA"/>
    <x v="1"/>
    <x v="4"/>
    <x v="1"/>
  </r>
  <r>
    <d v="2026-05-27T00:00:00"/>
    <x v="0"/>
    <s v="HUANCAYO"/>
    <s v="CHILCA"/>
    <x v="0"/>
    <x v="4"/>
    <x v="1"/>
  </r>
  <r>
    <d v="2026-05-27T00:00:00"/>
    <x v="1"/>
    <s v="CHURCAMPA"/>
    <s v="EL CARMEN"/>
    <x v="0"/>
    <x v="4"/>
    <x v="1"/>
  </r>
  <r>
    <d v="2026-05-27T00:00:00"/>
    <x v="0"/>
    <s v="HUANCAYO"/>
    <s v="HUANCAYO"/>
    <x v="3"/>
    <x v="4"/>
    <x v="0"/>
  </r>
  <r>
    <d v="2026-05-27T00:00:00"/>
    <x v="1"/>
    <s v="CHURCAMPA"/>
    <s v="ANCO"/>
    <x v="1"/>
    <x v="4"/>
    <x v="1"/>
  </r>
  <r>
    <d v="2026-05-27T00:00:00"/>
    <x v="0"/>
    <s v="JAUJA"/>
    <s v="YAUYOS"/>
    <x v="1"/>
    <x v="4"/>
    <x v="1"/>
  </r>
  <r>
    <d v="2026-05-27T00:00:00"/>
    <x v="0"/>
    <s v="HUANCAYO"/>
    <s v="EL TAMBO"/>
    <x v="1"/>
    <x v="4"/>
    <x v="1"/>
  </r>
  <r>
    <d v="2026-05-27T00:00:00"/>
    <x v="0"/>
    <s v="HUANCAYO"/>
    <s v="SICAYA"/>
    <x v="1"/>
    <x v="4"/>
    <x v="1"/>
  </r>
  <r>
    <d v="2026-05-27T00:00:00"/>
    <x v="1"/>
    <s v="ACOBAMBA"/>
    <s v="ACOBAMBA"/>
    <x v="1"/>
    <x v="5"/>
    <x v="0"/>
  </r>
  <r>
    <d v="2026-05-27T00:00:00"/>
    <x v="0"/>
    <s v="HUANCAYO"/>
    <s v="CHILCA"/>
    <x v="0"/>
    <x v="5"/>
    <x v="0"/>
  </r>
  <r>
    <d v="2026-05-27T00:00:00"/>
    <x v="0"/>
    <s v="HUANCAYO"/>
    <s v="PILCOMAYO"/>
    <x v="1"/>
    <x v="5"/>
    <x v="0"/>
  </r>
  <r>
    <d v="2026-05-27T00:00:00"/>
    <x v="0"/>
    <s v="HUANCAYO"/>
    <s v="HUANCAYO"/>
    <x v="1"/>
    <x v="5"/>
    <x v="0"/>
  </r>
  <r>
    <d v="2026-05-27T00:00:00"/>
    <x v="0"/>
    <s v="HUANCAYO"/>
    <s v="EL TAMBO"/>
    <x v="0"/>
    <x v="5"/>
    <x v="0"/>
  </r>
  <r>
    <d v="2026-05-27T00:00:00"/>
    <x v="0"/>
    <s v="HUANCAYO"/>
    <s v="EL TAMBO"/>
    <x v="0"/>
    <x v="5"/>
    <x v="0"/>
  </r>
  <r>
    <d v="2026-05-27T00:00:00"/>
    <x v="0"/>
    <s v="HUANCAYO"/>
    <s v="CHILCA"/>
    <x v="1"/>
    <x v="5"/>
    <x v="0"/>
  </r>
  <r>
    <d v="2026-05-27T00:00:00"/>
    <x v="0"/>
    <s v="HUANCAYO"/>
    <s v="EL TAMBO"/>
    <x v="1"/>
    <x v="5"/>
    <x v="0"/>
  </r>
  <r>
    <d v="2026-05-27T00:00:00"/>
    <x v="0"/>
    <s v="JAUJA"/>
    <s v="SAUSA"/>
    <x v="0"/>
    <x v="5"/>
    <x v="0"/>
  </r>
  <r>
    <d v="2026-05-27T00:00:00"/>
    <x v="0"/>
    <s v="HUANCAYO"/>
    <s v="HUANCAYO"/>
    <x v="1"/>
    <x v="5"/>
    <x v="0"/>
  </r>
  <r>
    <d v="2026-05-27T00:00:00"/>
    <x v="0"/>
    <s v="HUANCAYO"/>
    <s v="CHILCA"/>
    <x v="1"/>
    <x v="5"/>
    <x v="0"/>
  </r>
  <r>
    <d v="2026-05-27T00:00:00"/>
    <x v="0"/>
    <s v="HUANCAYO"/>
    <s v="CHILCA"/>
    <x v="1"/>
    <x v="5"/>
    <x v="0"/>
  </r>
  <r>
    <d v="2026-05-27T00:00:00"/>
    <x v="0"/>
    <s v="CONCEPCION"/>
    <s v="MATAHUASI"/>
    <x v="1"/>
    <x v="5"/>
    <x v="0"/>
  </r>
  <r>
    <d v="2026-05-27T00:00:00"/>
    <x v="1"/>
    <s v="TAYACAJA"/>
    <s v="SAN MARCOS DE ROCCHAC"/>
    <x v="1"/>
    <x v="5"/>
    <x v="0"/>
  </r>
  <r>
    <d v="2026-05-27T00:00:00"/>
    <x v="0"/>
    <s v="HUANCAYO"/>
    <s v="CHILCA"/>
    <x v="3"/>
    <x v="5"/>
    <x v="0"/>
  </r>
  <r>
    <d v="2026-05-27T00:00:00"/>
    <x v="0"/>
    <s v="JUNIN"/>
    <s v="CARHUAMAYO"/>
    <x v="1"/>
    <x v="5"/>
    <x v="0"/>
  </r>
  <r>
    <d v="2026-05-27T00:00:00"/>
    <x v="0"/>
    <s v="HUANCAYO"/>
    <s v="EL TAMBO"/>
    <x v="1"/>
    <x v="5"/>
    <x v="0"/>
  </r>
  <r>
    <d v="2026-05-27T00:00:00"/>
    <x v="0"/>
    <s v="HUANCAYO"/>
    <s v="CHILCA"/>
    <x v="1"/>
    <x v="5"/>
    <x v="0"/>
  </r>
  <r>
    <d v="2026-05-27T00:00:00"/>
    <x v="0"/>
    <s v="HUANCAYO"/>
    <s v="CHILCA"/>
    <x v="1"/>
    <x v="5"/>
    <x v="0"/>
  </r>
  <r>
    <d v="2026-05-27T00:00:00"/>
    <x v="0"/>
    <s v="HUANCAYO"/>
    <s v="EL TAMBO"/>
    <x v="1"/>
    <x v="5"/>
    <x v="0"/>
  </r>
  <r>
    <d v="2026-05-27T00:00:00"/>
    <x v="0"/>
    <s v="HUANCAYO"/>
    <s v="HUAYUCACHI"/>
    <x v="1"/>
    <x v="6"/>
    <x v="0"/>
  </r>
  <r>
    <d v="2026-05-27T00:00:00"/>
    <x v="4"/>
    <s v="OXAPAMPA"/>
    <s v="VILLA RICA"/>
    <x v="1"/>
    <x v="6"/>
    <x v="0"/>
  </r>
  <r>
    <d v="2026-05-27T00:00:00"/>
    <x v="0"/>
    <s v="HUANCAYO"/>
    <s v="EL TAMBO"/>
    <x v="1"/>
    <x v="6"/>
    <x v="0"/>
  </r>
  <r>
    <d v="2026-05-27T00:00:00"/>
    <x v="0"/>
    <s v="HUANCAYO"/>
    <s v="EL TAMBO"/>
    <x v="4"/>
    <x v="6"/>
    <x v="0"/>
  </r>
  <r>
    <d v="2026-05-27T00:00:00"/>
    <x v="0"/>
    <s v="HUANCAYO"/>
    <s v="CHILCA"/>
    <x v="1"/>
    <x v="6"/>
    <x v="0"/>
  </r>
  <r>
    <d v="2026-05-27T00:00:00"/>
    <x v="0"/>
    <s v="HUANCAYO"/>
    <s v="CHILCA"/>
    <x v="1"/>
    <x v="6"/>
    <x v="0"/>
  </r>
  <r>
    <d v="2026-05-27T00:00:00"/>
    <x v="0"/>
    <s v="HUANCAYO"/>
    <s v="HUANCAN"/>
    <x v="1"/>
    <x v="6"/>
    <x v="0"/>
  </r>
  <r>
    <d v="2026-05-27T00:00:00"/>
    <x v="0"/>
    <s v="HUANCAYO"/>
    <s v="EL TAMBO"/>
    <x v="1"/>
    <x v="6"/>
    <x v="0"/>
  </r>
  <r>
    <d v="2026-05-27T00:00:00"/>
    <x v="0"/>
    <s v="HUANCAYO"/>
    <s v="CHILCA"/>
    <x v="0"/>
    <x v="6"/>
    <x v="0"/>
  </r>
  <r>
    <d v="2026-05-27T00:00:00"/>
    <x v="0"/>
    <s v="HUANCAYO"/>
    <s v="HUANCAN"/>
    <x v="0"/>
    <x v="6"/>
    <x v="0"/>
  </r>
  <r>
    <d v="2026-05-27T00:00:00"/>
    <x v="3"/>
    <s v="HUANTA"/>
    <s v="HUANTA"/>
    <x v="1"/>
    <x v="6"/>
    <x v="0"/>
  </r>
  <r>
    <d v="2026-05-27T00:00:00"/>
    <x v="0"/>
    <s v="HUANCAYO"/>
    <s v="HUANCAYO"/>
    <x v="1"/>
    <x v="6"/>
    <x v="0"/>
  </r>
  <r>
    <d v="2026-05-27T00:00:00"/>
    <x v="0"/>
    <s v="HUANCAYO"/>
    <s v="EL TAMBO"/>
    <x v="0"/>
    <x v="6"/>
    <x v="0"/>
  </r>
  <r>
    <d v="2026-05-27T00:00:00"/>
    <x v="0"/>
    <s v="HUANCAYO"/>
    <s v="HUANCAN"/>
    <x v="1"/>
    <x v="6"/>
    <x v="0"/>
  </r>
  <r>
    <d v="2026-05-27T00:00:00"/>
    <x v="0"/>
    <s v="HUANCAYO"/>
    <s v="EL TAMBO"/>
    <x v="1"/>
    <x v="6"/>
    <x v="0"/>
  </r>
  <r>
    <d v="2026-05-27T00:00:00"/>
    <x v="0"/>
    <s v="HUANCAYO"/>
    <s v="HUANCAYO"/>
    <x v="1"/>
    <x v="6"/>
    <x v="0"/>
  </r>
  <r>
    <d v="2026-05-27T00:00:00"/>
    <x v="0"/>
    <s v="HUANCAYO"/>
    <s v="HUAYUCACHI"/>
    <x v="1"/>
    <x v="6"/>
    <x v="0"/>
  </r>
  <r>
    <d v="2026-05-27T00:00:00"/>
    <x v="0"/>
    <s v="HUANCAYO"/>
    <s v="HUANCAN"/>
    <x v="1"/>
    <x v="7"/>
    <x v="1"/>
  </r>
  <r>
    <d v="2026-05-27T00:00:00"/>
    <x v="0"/>
    <s v="YAULI"/>
    <s v="LA OROYA"/>
    <x v="4"/>
    <x v="7"/>
    <x v="1"/>
  </r>
  <r>
    <d v="2026-05-27T00:00:00"/>
    <x v="0"/>
    <s v="HUANCAYO"/>
    <s v="EL TAMBO"/>
    <x v="1"/>
    <x v="7"/>
    <x v="1"/>
  </r>
  <r>
    <d v="2026-05-27T00:00:00"/>
    <x v="0"/>
    <s v="HUANCAYO"/>
    <s v="HUAYUCACHI"/>
    <x v="1"/>
    <x v="8"/>
    <x v="1"/>
  </r>
  <r>
    <d v="2026-05-27T00:00:00"/>
    <x v="0"/>
    <s v="JAUJA"/>
    <s v="YAUYOS"/>
    <x v="1"/>
    <x v="7"/>
    <x v="1"/>
  </r>
  <r>
    <d v="2026-05-27T00:00:00"/>
    <x v="0"/>
    <s v="CONCEPCION"/>
    <s v="CONCEPCION"/>
    <x v="1"/>
    <x v="7"/>
    <x v="0"/>
  </r>
  <r>
    <d v="2026-05-27T00:00:00"/>
    <x v="0"/>
    <s v="TARMA"/>
    <s v="TARMA"/>
    <x v="1"/>
    <x v="7"/>
    <x v="0"/>
  </r>
  <r>
    <d v="2026-05-27T00:00:00"/>
    <x v="0"/>
    <s v="CHUPACA"/>
    <s v="CHUPACA"/>
    <x v="1"/>
    <x v="7"/>
    <x v="0"/>
  </r>
  <r>
    <d v="2026-05-27T00:00:00"/>
    <x v="0"/>
    <s v="HUANCAYO"/>
    <s v="CHILCA"/>
    <x v="1"/>
    <x v="7"/>
    <x v="1"/>
  </r>
  <r>
    <d v="2026-05-27T00:00:00"/>
    <x v="0"/>
    <s v="SATIPO"/>
    <s v="MAZAMARI"/>
    <x v="0"/>
    <x v="7"/>
    <x v="1"/>
  </r>
  <r>
    <d v="2026-05-27T00:00:00"/>
    <x v="0"/>
    <s v="HUANCAYO"/>
    <s v="CHILCA"/>
    <x v="0"/>
    <x v="9"/>
    <x v="1"/>
  </r>
  <r>
    <d v="2026-05-27T00:00:00"/>
    <x v="0"/>
    <s v="HUANCAYO"/>
    <s v="HUANCAYO"/>
    <x v="1"/>
    <x v="9"/>
    <x v="1"/>
  </r>
  <r>
    <d v="2026-05-27T00:00:00"/>
    <x v="0"/>
    <s v="HUANCAYO"/>
    <s v="CHILCA"/>
    <x v="0"/>
    <x v="9"/>
    <x v="0"/>
  </r>
  <r>
    <d v="2026-05-27T00:00:00"/>
    <x v="0"/>
    <s v="JAUJA"/>
    <s v="JAUJA"/>
    <x v="0"/>
    <x v="9"/>
    <x v="1"/>
  </r>
  <r>
    <d v="2026-05-27T00:00:00"/>
    <x v="0"/>
    <s v="HUANCAYO"/>
    <s v="SAPALLANGA"/>
    <x v="1"/>
    <x v="9"/>
    <x v="0"/>
  </r>
  <r>
    <d v="2026-05-27T00:00:00"/>
    <x v="1"/>
    <s v="TAYACAJA"/>
    <s v="HUARIBAMBA"/>
    <x v="3"/>
    <x v="9"/>
    <x v="0"/>
  </r>
  <r>
    <d v="2026-05-27T00:00:00"/>
    <x v="0"/>
    <s v="YAULI"/>
    <s v="LA OROYA"/>
    <x v="1"/>
    <x v="9"/>
    <x v="0"/>
  </r>
  <r>
    <d v="2026-05-27T00:00:00"/>
    <x v="0"/>
    <s v="SATIPO"/>
    <s v="PANGOA"/>
    <x v="1"/>
    <x v="9"/>
    <x v="1"/>
  </r>
  <r>
    <d v="2026-05-27T00:00:00"/>
    <x v="0"/>
    <s v="HUANCAYO"/>
    <s v="HUANCAN"/>
    <x v="1"/>
    <x v="9"/>
    <x v="1"/>
  </r>
  <r>
    <d v="2026-05-27T00:00:00"/>
    <x v="0"/>
    <s v="HUANCAYO"/>
    <s v="EL TAMBO"/>
    <x v="1"/>
    <x v="9"/>
    <x v="0"/>
  </r>
  <r>
    <d v="2026-05-27T00:00:00"/>
    <x v="0"/>
    <s v="HUANCAYO"/>
    <s v="HUANCAN"/>
    <x v="1"/>
    <x v="9"/>
    <x v="0"/>
  </r>
  <r>
    <d v="2026-05-27T00:00:00"/>
    <x v="0"/>
    <s v="HUANCAYO"/>
    <s v="CHILCA"/>
    <x v="1"/>
    <x v="9"/>
    <x v="1"/>
  </r>
  <r>
    <d v="2026-05-27T00:00:00"/>
    <x v="0"/>
    <s v="HUANCAYO"/>
    <s v="HUAYUCACHI"/>
    <x v="1"/>
    <x v="9"/>
    <x v="1"/>
  </r>
  <r>
    <d v="2026-05-27T00:00:00"/>
    <x v="0"/>
    <s v="HUANCAYO"/>
    <s v="CHILCA"/>
    <x v="1"/>
    <x v="9"/>
    <x v="0"/>
  </r>
  <r>
    <d v="2026-05-27T00:00:00"/>
    <x v="1"/>
    <s v="TAYACAJA"/>
    <s v="QUICHUAS"/>
    <x v="0"/>
    <x v="9"/>
    <x v="0"/>
  </r>
  <r>
    <d v="2026-05-27T00:00:00"/>
    <x v="0"/>
    <s v="HUANCAYO"/>
    <s v="EL TAMBO"/>
    <x v="1"/>
    <x v="9"/>
    <x v="0"/>
  </r>
  <r>
    <d v="2026-05-27T00:00:00"/>
    <x v="0"/>
    <s v="HUANCAYO"/>
    <s v="HUANCAN"/>
    <x v="1"/>
    <x v="10"/>
    <x v="0"/>
  </r>
  <r>
    <d v="2026-05-27T00:00:00"/>
    <x v="0"/>
    <s v="HUANCAYO"/>
    <s v="CHILCA"/>
    <x v="1"/>
    <x v="10"/>
    <x v="1"/>
  </r>
  <r>
    <d v="2026-05-27T00:00:00"/>
    <x v="0"/>
    <s v="HUANCAYO"/>
    <s v="EL TAMBO"/>
    <x v="1"/>
    <x v="10"/>
    <x v="1"/>
  </r>
  <r>
    <d v="2026-05-27T00:00:00"/>
    <x v="0"/>
    <s v="JAUJA"/>
    <s v="PACCHA"/>
    <x v="1"/>
    <x v="10"/>
    <x v="0"/>
  </r>
  <r>
    <d v="2026-05-27T00:00:00"/>
    <x v="0"/>
    <s v="JAUJA"/>
    <s v="EL MANTARO"/>
    <x v="1"/>
    <x v="10"/>
    <x v="1"/>
  </r>
  <r>
    <d v="2026-05-27T00:00:00"/>
    <x v="0"/>
    <s v="HUANCAYO"/>
    <s v="HUANCAYO"/>
    <x v="0"/>
    <x v="10"/>
    <x v="0"/>
  </r>
  <r>
    <d v="2026-05-27T00:00:00"/>
    <x v="0"/>
    <s v="HUANCAYO"/>
    <s v="EL TAMBO"/>
    <x v="1"/>
    <x v="10"/>
    <x v="1"/>
  </r>
  <r>
    <d v="2026-05-27T00:00:00"/>
    <x v="0"/>
    <s v="HUANCAYO"/>
    <s v="EL TAMBO"/>
    <x v="1"/>
    <x v="10"/>
    <x v="0"/>
  </r>
  <r>
    <d v="2026-05-27T00:00:00"/>
    <x v="0"/>
    <s v="HUANCAYO"/>
    <s v="CHILCA"/>
    <x v="0"/>
    <x v="10"/>
    <x v="1"/>
  </r>
  <r>
    <d v="2026-05-27T00:00:00"/>
    <x v="0"/>
    <s v="HUANCAYO"/>
    <s v="HUANCAN"/>
    <x v="1"/>
    <x v="10"/>
    <x v="1"/>
  </r>
  <r>
    <d v="2026-05-27T00:00:00"/>
    <x v="0"/>
    <s v="HUANCAYO"/>
    <s v="EL TAMBO"/>
    <x v="1"/>
    <x v="10"/>
    <x v="0"/>
  </r>
  <r>
    <d v="2026-05-27T00:00:00"/>
    <x v="0"/>
    <s v="HUANCAYO"/>
    <s v="PILCOMAYO"/>
    <x v="1"/>
    <x v="11"/>
    <x v="0"/>
  </r>
  <r>
    <d v="2026-05-27T00:00:00"/>
    <x v="0"/>
    <s v="CHUPACA"/>
    <s v="CHUPACA"/>
    <x v="1"/>
    <x v="11"/>
    <x v="0"/>
  </r>
  <r>
    <d v="2026-05-27T00:00:00"/>
    <x v="0"/>
    <s v="HUANCAYO"/>
    <s v="HUANCAYO"/>
    <x v="1"/>
    <x v="11"/>
    <x v="0"/>
  </r>
  <r>
    <d v="2026-05-27T00:00:00"/>
    <x v="0"/>
    <s v="HUANCAYO"/>
    <s v="EL TAMBO"/>
    <x v="1"/>
    <x v="11"/>
    <x v="1"/>
  </r>
  <r>
    <d v="2026-05-27T00:00:00"/>
    <x v="0"/>
    <s v="JAUJA"/>
    <s v="ACOLLA"/>
    <x v="1"/>
    <x v="11"/>
    <x v="1"/>
  </r>
  <r>
    <d v="2026-05-27T00:00:00"/>
    <x v="0"/>
    <s v="HUANCAYO"/>
    <s v="CHILCA"/>
    <x v="1"/>
    <x v="11"/>
    <x v="0"/>
  </r>
  <r>
    <d v="2026-05-27T00:00:00"/>
    <x v="0"/>
    <s v="HUANCAYO"/>
    <s v="CHILCA"/>
    <x v="1"/>
    <x v="11"/>
    <x v="0"/>
  </r>
  <r>
    <d v="2026-05-27T00:00:00"/>
    <x v="0"/>
    <s v="HUANCAYO"/>
    <s v="EL TAMBO"/>
    <x v="1"/>
    <x v="11"/>
    <x v="0"/>
  </r>
  <r>
    <d v="2026-05-27T00:00:00"/>
    <x v="0"/>
    <s v="JAUJA"/>
    <s v="SAUSA"/>
    <x v="1"/>
    <x v="11"/>
    <x v="0"/>
  </r>
  <r>
    <d v="2026-05-27T00:00:00"/>
    <x v="0"/>
    <s v="HUANCAYO"/>
    <s v="HUANCAYO"/>
    <x v="1"/>
    <x v="11"/>
    <x v="0"/>
  </r>
  <r>
    <d v="2026-05-27T00:00:00"/>
    <x v="0"/>
    <s v="CHUPACA"/>
    <s v="HUAMANCACA CHICO"/>
    <x v="1"/>
    <x v="11"/>
    <x v="1"/>
  </r>
  <r>
    <d v="2026-05-27T00:00:00"/>
    <x v="0"/>
    <s v="JUNIN"/>
    <s v="CARHUAMAYO"/>
    <x v="1"/>
    <x v="11"/>
    <x v="1"/>
  </r>
  <r>
    <d v="2026-05-27T00:00:00"/>
    <x v="0"/>
    <s v="HUANCAYO"/>
    <s v="EL TAMBO"/>
    <x v="1"/>
    <x v="12"/>
    <x v="1"/>
  </r>
  <r>
    <d v="2026-05-27T00:00:00"/>
    <x v="4"/>
    <s v="OXAPAMPA"/>
    <s v="VILLA RICA"/>
    <x v="0"/>
    <x v="12"/>
    <x v="0"/>
  </r>
  <r>
    <d v="2026-05-27T00:00:00"/>
    <x v="0"/>
    <s v="HUANCAYO"/>
    <s v="HUANCAYO"/>
    <x v="1"/>
    <x v="12"/>
    <x v="0"/>
  </r>
  <r>
    <d v="2026-05-27T00:00:00"/>
    <x v="0"/>
    <s v="HUANCAYO"/>
    <s v="EL TAMBO"/>
    <x v="1"/>
    <x v="12"/>
    <x v="0"/>
  </r>
  <r>
    <d v="2026-05-27T00:00:00"/>
    <x v="1"/>
    <s v="HUANCAVELICA"/>
    <s v="HUANCAVELICA"/>
    <x v="1"/>
    <x v="12"/>
    <x v="0"/>
  </r>
  <r>
    <d v="2026-05-27T00:00:00"/>
    <x v="0"/>
    <s v="CHUPACA"/>
    <s v="CHONGOS BAJO"/>
    <x v="1"/>
    <x v="12"/>
    <x v="1"/>
  </r>
  <r>
    <d v="2026-05-27T00:00:00"/>
    <x v="0"/>
    <s v="HUANCAYO"/>
    <s v="HUANCAYO"/>
    <x v="1"/>
    <x v="12"/>
    <x v="0"/>
  </r>
  <r>
    <d v="2026-05-27T00:00:00"/>
    <x v="2"/>
    <s v="LIMA"/>
    <s v="CARABAYLLO"/>
    <x v="1"/>
    <x v="12"/>
    <x v="1"/>
  </r>
  <r>
    <d v="2026-05-27T00:00:00"/>
    <x v="0"/>
    <s v="JAUJA"/>
    <s v="HUARIPAMPA"/>
    <x v="1"/>
    <x v="12"/>
    <x v="1"/>
  </r>
  <r>
    <d v="2026-05-27T00:00:00"/>
    <x v="0"/>
    <s v="HUANCAYO"/>
    <s v="QUILCAS"/>
    <x v="1"/>
    <x v="12"/>
    <x v="0"/>
  </r>
  <r>
    <d v="2026-05-27T00:00:00"/>
    <x v="0"/>
    <s v="CHUPACA"/>
    <s v="YANACANCHA"/>
    <x v="1"/>
    <x v="12"/>
    <x v="0"/>
  </r>
  <r>
    <d v="2026-05-27T00:00:00"/>
    <x v="4"/>
    <s v="PASCO"/>
    <s v="HUARIACA"/>
    <x v="1"/>
    <x v="12"/>
    <x v="0"/>
  </r>
  <r>
    <d v="2026-05-27T00:00:00"/>
    <x v="0"/>
    <s v="HUANCAYO"/>
    <s v="CARHUACALLANGA"/>
    <x v="1"/>
    <x v="12"/>
    <x v="1"/>
  </r>
  <r>
    <d v="2026-05-27T00:00:00"/>
    <x v="0"/>
    <s v="HUANCAYO"/>
    <s v="EL TAMBO"/>
    <x v="1"/>
    <x v="12"/>
    <x v="1"/>
  </r>
  <r>
    <d v="2026-05-27T00:00:00"/>
    <x v="0"/>
    <s v="HUANCAYO"/>
    <s v="EL TAMBO"/>
    <x v="1"/>
    <x v="12"/>
    <x v="0"/>
  </r>
  <r>
    <d v="2026-05-27T00:00:00"/>
    <x v="0"/>
    <s v="HUANCAYO"/>
    <s v="CHILCA"/>
    <x v="1"/>
    <x v="12"/>
    <x v="1"/>
  </r>
  <r>
    <d v="2026-05-27T00:00:00"/>
    <x v="0"/>
    <s v="HUANCAYO"/>
    <s v="SAN AGUSTIN"/>
    <x v="0"/>
    <x v="12"/>
    <x v="0"/>
  </r>
  <r>
    <d v="2026-05-27T00:00:00"/>
    <x v="0"/>
    <s v="HUANCAYO"/>
    <s v="EL TAMBO"/>
    <x v="1"/>
    <x v="12"/>
    <x v="0"/>
  </r>
  <r>
    <d v="2026-05-27T00:00:00"/>
    <x v="0"/>
    <s v="HUANCAYO"/>
    <s v="EL TAMBO"/>
    <x v="0"/>
    <x v="12"/>
    <x v="0"/>
  </r>
  <r>
    <d v="2026-05-27T00:00:00"/>
    <x v="0"/>
    <s v="HUANCAYO"/>
    <s v="SAN AGUSTIN"/>
    <x v="1"/>
    <x v="12"/>
    <x v="0"/>
  </r>
  <r>
    <d v="2026-05-27T00:00:00"/>
    <x v="0"/>
    <s v="HUANCAYO"/>
    <s v="EL TAMBO"/>
    <x v="1"/>
    <x v="12"/>
    <x v="1"/>
  </r>
  <r>
    <d v="2026-05-27T00:00:00"/>
    <x v="0"/>
    <s v="HUANCAYO"/>
    <s v="EL TAMBO"/>
    <x v="1"/>
    <x v="12"/>
    <x v="0"/>
  </r>
  <r>
    <d v="2026-05-27T00:00:00"/>
    <x v="0"/>
    <s v="HUANCAYO"/>
    <s v="HUANCAYO"/>
    <x v="0"/>
    <x v="12"/>
    <x v="0"/>
  </r>
  <r>
    <d v="2026-05-27T00:00:00"/>
    <x v="2"/>
    <s v="LIMA"/>
    <s v="EL AGUSTINO"/>
    <x v="1"/>
    <x v="12"/>
    <x v="0"/>
  </r>
  <r>
    <d v="2026-05-27T00:00:00"/>
    <x v="0"/>
    <s v="JAUJA"/>
    <s v="EL MANTARO"/>
    <x v="3"/>
    <x v="12"/>
    <x v="0"/>
  </r>
  <r>
    <d v="2026-05-27T00:00:00"/>
    <x v="0"/>
    <s v="HUANCAYO"/>
    <s v="CHILCA"/>
    <x v="0"/>
    <x v="12"/>
    <x v="0"/>
  </r>
  <r>
    <d v="2026-05-27T00:00:00"/>
    <x v="0"/>
    <s v="HUANCAYO"/>
    <s v="PILCOMAYO"/>
    <x v="1"/>
    <x v="13"/>
    <x v="0"/>
  </r>
  <r>
    <d v="2026-05-27T00:00:00"/>
    <x v="0"/>
    <s v="HUANCAYO"/>
    <s v="SICAYA"/>
    <x v="1"/>
    <x v="12"/>
    <x v="0"/>
  </r>
  <r>
    <d v="2026-05-27T00:00:00"/>
    <x v="0"/>
    <s v="HUANCAYO"/>
    <s v="HUANCAYO"/>
    <x v="1"/>
    <x v="12"/>
    <x v="1"/>
  </r>
  <r>
    <d v="2026-05-27T00:00:00"/>
    <x v="0"/>
    <s v="CHANCHAMAYO"/>
    <s v="SAN RAMON"/>
    <x v="1"/>
    <x v="12"/>
    <x v="0"/>
  </r>
  <r>
    <d v="2026-05-27T00:00:00"/>
    <x v="0"/>
    <s v="HUANCAYO"/>
    <s v="HUAYUCACHI"/>
    <x v="1"/>
    <x v="12"/>
    <x v="0"/>
  </r>
  <r>
    <d v="2026-05-27T00:00:00"/>
    <x v="0"/>
    <s v="HUANCAYO"/>
    <s v="EL TAMBO"/>
    <x v="6"/>
    <x v="12"/>
    <x v="1"/>
  </r>
  <r>
    <d v="2026-05-27T00:00:00"/>
    <x v="0"/>
    <s v="HUANCAYO"/>
    <s v="EL TAMBO"/>
    <x v="1"/>
    <x v="12"/>
    <x v="0"/>
  </r>
  <r>
    <d v="2026-05-27T00:00:00"/>
    <x v="1"/>
    <s v="HUANCAVELICA"/>
    <s v="ASCENSION"/>
    <x v="1"/>
    <x v="12"/>
    <x v="0"/>
  </r>
  <r>
    <d v="2026-05-27T00:00:00"/>
    <x v="0"/>
    <s v="CHUPACA"/>
    <s v="CHUPACA"/>
    <x v="4"/>
    <x v="12"/>
    <x v="0"/>
  </r>
  <r>
    <d v="2026-05-27T00:00:00"/>
    <x v="0"/>
    <s v="HUANCAYO"/>
    <s v="HUANCAYO"/>
    <x v="5"/>
    <x v="12"/>
    <x v="0"/>
  </r>
  <r>
    <d v="2026-05-27T00:00:00"/>
    <x v="0"/>
    <s v="HUANCAYO"/>
    <s v="HUASICANCHA"/>
    <x v="3"/>
    <x v="12"/>
    <x v="0"/>
  </r>
  <r>
    <d v="2026-05-27T00:00:00"/>
    <x v="0"/>
    <s v="TARMA"/>
    <s v="TARMA"/>
    <x v="0"/>
    <x v="14"/>
    <x v="0"/>
  </r>
  <r>
    <d v="2026-05-27T00:00:00"/>
    <x v="3"/>
    <s v="HUAMANGA"/>
    <s v="AYACUCHO"/>
    <x v="1"/>
    <x v="15"/>
    <x v="1"/>
  </r>
  <r>
    <d v="2026-05-27T00:00:00"/>
    <x v="0"/>
    <s v="HUANCAYO"/>
    <s v="HUANCAYO"/>
    <x v="1"/>
    <x v="15"/>
    <x v="1"/>
  </r>
  <r>
    <d v="2026-05-27T00:00:00"/>
    <x v="4"/>
    <s v="OXAPAMPA"/>
    <s v="OXAPAMPA"/>
    <x v="4"/>
    <x v="15"/>
    <x v="1"/>
  </r>
  <r>
    <d v="2026-05-27T00:00:00"/>
    <x v="0"/>
    <s v="HUANCAYO"/>
    <s v="HUANCAYO"/>
    <x v="1"/>
    <x v="15"/>
    <x v="1"/>
  </r>
  <r>
    <d v="2026-05-27T00:00:00"/>
    <x v="0"/>
    <s v="HUANCAYO"/>
    <s v="CHILCA"/>
    <x v="1"/>
    <x v="15"/>
    <x v="1"/>
  </r>
  <r>
    <d v="2026-05-27T00:00:00"/>
    <x v="0"/>
    <s v="CHUPACA"/>
    <s v="CHUPACA"/>
    <x v="0"/>
    <x v="15"/>
    <x v="1"/>
  </r>
  <r>
    <d v="2026-05-27T00:00:00"/>
    <x v="0"/>
    <s v="HUANCAYO"/>
    <s v="HUAYUCACHI"/>
    <x v="7"/>
    <x v="15"/>
    <x v="1"/>
  </r>
  <r>
    <d v="2026-05-27T00:00:00"/>
    <x v="0"/>
    <s v="HUANCAYO"/>
    <s v="PILCOMAYO"/>
    <x v="0"/>
    <x v="15"/>
    <x v="0"/>
  </r>
  <r>
    <d v="2026-05-27T00:00:00"/>
    <x v="4"/>
    <s v="OXAPAMPA"/>
    <s v="OXAPAMPA"/>
    <x v="0"/>
    <x v="15"/>
    <x v="1"/>
  </r>
  <r>
    <d v="2026-05-27T00:00:00"/>
    <x v="0"/>
    <s v="TARMA"/>
    <s v="TARMA"/>
    <x v="0"/>
    <x v="16"/>
    <x v="0"/>
  </r>
  <r>
    <d v="2026-05-27T00:00:00"/>
    <x v="0"/>
    <s v="HUANCAYO"/>
    <s v="EL TAMBO"/>
    <x v="1"/>
    <x v="15"/>
    <x v="1"/>
  </r>
  <r>
    <d v="2026-05-27T00:00:00"/>
    <x v="0"/>
    <s v="HUANCAYO"/>
    <s v="CHILCA"/>
    <x v="1"/>
    <x v="15"/>
    <x v="1"/>
  </r>
  <r>
    <d v="2026-05-27T00:00:00"/>
    <x v="1"/>
    <s v="CHURCAMPA"/>
    <s v="LOCROJA"/>
    <x v="1"/>
    <x v="15"/>
    <x v="1"/>
  </r>
  <r>
    <d v="2026-05-27T00:00:00"/>
    <x v="0"/>
    <s v="HUANCAYO"/>
    <s v="EL TAMBO"/>
    <x v="1"/>
    <x v="15"/>
    <x v="0"/>
  </r>
  <r>
    <d v="2026-05-27T00:00:00"/>
    <x v="0"/>
    <s v="CONCEPCION"/>
    <s v="COCHAS"/>
    <x v="5"/>
    <x v="15"/>
    <x v="1"/>
  </r>
  <r>
    <d v="2026-05-27T00:00:00"/>
    <x v="0"/>
    <s v="HUANCAYO"/>
    <s v="SAN AGUSTIN"/>
    <x v="1"/>
    <x v="15"/>
    <x v="1"/>
  </r>
  <r>
    <d v="2026-05-27T00:00:00"/>
    <x v="0"/>
    <s v="HUANCAYO"/>
    <s v="HUANCAN"/>
    <x v="0"/>
    <x v="15"/>
    <x v="1"/>
  </r>
  <r>
    <d v="2026-05-27T00:00:00"/>
    <x v="0"/>
    <s v="HUANCAYO"/>
    <s v="HUAYUCACHI"/>
    <x v="0"/>
    <x v="15"/>
    <x v="1"/>
  </r>
  <r>
    <d v="2026-05-27T00:00:00"/>
    <x v="0"/>
    <s v="HUANCAYO"/>
    <s v="HUANCAN"/>
    <x v="1"/>
    <x v="15"/>
    <x v="0"/>
  </r>
  <r>
    <d v="2026-05-27T00:00:00"/>
    <x v="0"/>
    <s v="JUNIN"/>
    <s v="JUNIN"/>
    <x v="0"/>
    <x v="15"/>
    <x v="1"/>
  </r>
  <r>
    <d v="2026-05-27T00:00:00"/>
    <x v="3"/>
    <s v="LA MAR"/>
    <s v="LUIS CARRANZA"/>
    <x v="1"/>
    <x v="15"/>
    <x v="1"/>
  </r>
  <r>
    <d v="2026-05-27T00:00:00"/>
    <x v="0"/>
    <s v="HUANCAYO"/>
    <s v="SAN AGUSTIN"/>
    <x v="0"/>
    <x v="15"/>
    <x v="1"/>
  </r>
  <r>
    <d v="2026-05-27T00:00:00"/>
    <x v="0"/>
    <s v="HUANCAYO"/>
    <s v="CARHUACALLANGA"/>
    <x v="1"/>
    <x v="15"/>
    <x v="1"/>
  </r>
  <r>
    <d v="2026-05-27T00:00:00"/>
    <x v="0"/>
    <s v="JAUJA"/>
    <s v="ATAURA"/>
    <x v="1"/>
    <x v="15"/>
    <x v="1"/>
  </r>
  <r>
    <d v="2026-05-27T00:00:00"/>
    <x v="0"/>
    <s v="HUANCAYO"/>
    <s v="EL TAMBO"/>
    <x v="4"/>
    <x v="15"/>
    <x v="1"/>
  </r>
  <r>
    <d v="2026-05-27T00:00:00"/>
    <x v="0"/>
    <s v="HUANCAYO"/>
    <s v="EL TAMBO"/>
    <x v="0"/>
    <x v="15"/>
    <x v="1"/>
  </r>
  <r>
    <d v="2026-05-27T00:00:00"/>
    <x v="0"/>
    <s v="HUANCAYO"/>
    <s v="SAPALLANGA"/>
    <x v="1"/>
    <x v="15"/>
    <x v="1"/>
  </r>
  <r>
    <d v="2026-05-27T00:00:00"/>
    <x v="0"/>
    <s v="CHUPACA"/>
    <s v="CHUPACA"/>
    <x v="1"/>
    <x v="15"/>
    <x v="1"/>
  </r>
  <r>
    <d v="2026-05-27T00:00:00"/>
    <x v="1"/>
    <s v="CHURCAMPA"/>
    <s v="COSME"/>
    <x v="2"/>
    <x v="15"/>
    <x v="1"/>
  </r>
  <r>
    <d v="2026-05-27T00:00:00"/>
    <x v="0"/>
    <s v="HUANCAYO"/>
    <s v="CHILCA"/>
    <x v="1"/>
    <x v="15"/>
    <x v="1"/>
  </r>
  <r>
    <d v="2026-05-27T00:00:00"/>
    <x v="1"/>
    <s v="TAYACAJA"/>
    <s v="AHUAYCHA"/>
    <x v="1"/>
    <x v="15"/>
    <x v="1"/>
  </r>
  <r>
    <d v="2026-05-27T00:00:00"/>
    <x v="2"/>
    <s v="LIMA"/>
    <s v="SAN MIGUEL"/>
    <x v="1"/>
    <x v="17"/>
    <x v="0"/>
  </r>
  <r>
    <d v="2026-05-27T00:00:00"/>
    <x v="0"/>
    <s v="HUANCAYO"/>
    <s v="SAN AGUSTIN"/>
    <x v="1"/>
    <x v="15"/>
    <x v="1"/>
  </r>
  <r>
    <d v="2026-05-27T00:00:00"/>
    <x v="0"/>
    <s v="HUANCAYO"/>
    <s v="SAPALLANGA"/>
    <x v="0"/>
    <x v="15"/>
    <x v="1"/>
  </r>
  <r>
    <d v="2026-05-27T00:00:00"/>
    <x v="0"/>
    <s v="CHUPACA"/>
    <s v="TRES DE DICIEMBRE"/>
    <x v="1"/>
    <x v="15"/>
    <x v="0"/>
  </r>
  <r>
    <d v="2026-05-27T00:00:00"/>
    <x v="0"/>
    <s v="HUANCAYO"/>
    <s v="CHILCA"/>
    <x v="0"/>
    <x v="15"/>
    <x v="1"/>
  </r>
  <r>
    <d v="2026-05-27T00:00:00"/>
    <x v="0"/>
    <s v="HUANCAYO"/>
    <s v="HUANCAYO"/>
    <x v="1"/>
    <x v="15"/>
    <x v="1"/>
  </r>
  <r>
    <d v="2026-05-27T00:00:00"/>
    <x v="0"/>
    <s v="HUANCAYO"/>
    <s v="EL TAMBO"/>
    <x v="3"/>
    <x v="15"/>
    <x v="1"/>
  </r>
  <r>
    <d v="2026-05-27T00:00:00"/>
    <x v="1"/>
    <s v="ACOBAMBA"/>
    <s v="PAUCARA"/>
    <x v="1"/>
    <x v="15"/>
    <x v="0"/>
  </r>
  <r>
    <d v="2026-05-27T00:00:00"/>
    <x v="0"/>
    <s v="HUANCAYO"/>
    <s v="PILCOMAYO"/>
    <x v="1"/>
    <x v="15"/>
    <x v="1"/>
  </r>
  <r>
    <d v="2026-05-27T00:00:00"/>
    <x v="1"/>
    <s v="HUANCAVELICA"/>
    <s v="ASCENSION"/>
    <x v="1"/>
    <x v="15"/>
    <x v="1"/>
  </r>
  <r>
    <d v="2026-05-27T00:00:00"/>
    <x v="0"/>
    <s v="YAULI"/>
    <s v="LA OROYA"/>
    <x v="1"/>
    <x v="15"/>
    <x v="1"/>
  </r>
  <r>
    <d v="2026-05-27T00:00:00"/>
    <x v="0"/>
    <s v="HUANCAYO"/>
    <s v="EL TAMBO"/>
    <x v="0"/>
    <x v="15"/>
    <x v="1"/>
  </r>
  <r>
    <d v="2026-05-27T00:00:00"/>
    <x v="1"/>
    <s v="HUANCAVELICA"/>
    <s v="HUANDO"/>
    <x v="1"/>
    <x v="15"/>
    <x v="1"/>
  </r>
  <r>
    <d v="2026-05-27T00:00:00"/>
    <x v="0"/>
    <s v="CHUPACA"/>
    <s v="HUAMANCACA CHICO"/>
    <x v="0"/>
    <x v="13"/>
    <x v="1"/>
  </r>
  <r>
    <d v="2026-05-27T00:00:00"/>
    <x v="0"/>
    <s v="HUANCAYO"/>
    <s v="HUANCAN"/>
    <x v="0"/>
    <x v="13"/>
    <x v="1"/>
  </r>
  <r>
    <d v="2026-05-27T00:00:00"/>
    <x v="0"/>
    <s v="HUANCAYO"/>
    <s v="EL TAMBO"/>
    <x v="1"/>
    <x v="13"/>
    <x v="1"/>
  </r>
  <r>
    <d v="2026-05-27T00:00:00"/>
    <x v="0"/>
    <s v="HUANCAYO"/>
    <s v="CHILCA"/>
    <x v="1"/>
    <x v="13"/>
    <x v="1"/>
  </r>
  <r>
    <d v="2026-05-27T00:00:00"/>
    <x v="0"/>
    <s v="HUANCAYO"/>
    <s v="SAN JERONIMO DE TUNAN"/>
    <x v="0"/>
    <x v="13"/>
    <x v="1"/>
  </r>
  <r>
    <d v="2026-05-27T00:00:00"/>
    <x v="0"/>
    <s v="HUANCAYO"/>
    <s v="CHILCA"/>
    <x v="0"/>
    <x v="13"/>
    <x v="1"/>
  </r>
  <r>
    <d v="2026-05-27T00:00:00"/>
    <x v="0"/>
    <s v="HUANCAYO"/>
    <s v="HUANCAN"/>
    <x v="1"/>
    <x v="13"/>
    <x v="1"/>
  </r>
  <r>
    <d v="2026-05-27T00:00:00"/>
    <x v="0"/>
    <s v="HUANCAYO"/>
    <s v="HUANCAYO"/>
    <x v="0"/>
    <x v="13"/>
    <x v="1"/>
  </r>
  <r>
    <d v="2026-05-27T00:00:00"/>
    <x v="0"/>
    <s v="HUANCAYO"/>
    <s v="EL TAMBO"/>
    <x v="0"/>
    <x v="13"/>
    <x v="1"/>
  </r>
  <r>
    <d v="2026-05-27T00:00:00"/>
    <x v="0"/>
    <s v="HUANCAYO"/>
    <s v="EL TAMBO"/>
    <x v="1"/>
    <x v="13"/>
    <x v="1"/>
  </r>
  <r>
    <d v="2026-05-27T00:00:00"/>
    <x v="0"/>
    <s v="HUANCAYO"/>
    <s v="EL TAMBO"/>
    <x v="1"/>
    <x v="13"/>
    <x v="1"/>
  </r>
  <r>
    <d v="2026-05-27T00:00:00"/>
    <x v="0"/>
    <s v="HUANCAYO"/>
    <s v="HUANCAYO"/>
    <x v="1"/>
    <x v="13"/>
    <x v="1"/>
  </r>
  <r>
    <d v="2026-05-27T00:00:00"/>
    <x v="0"/>
    <s v="HUANCAYO"/>
    <s v="HUAYUCACHI"/>
    <x v="3"/>
    <x v="13"/>
    <x v="1"/>
  </r>
  <r>
    <d v="2026-05-27T00:00:00"/>
    <x v="0"/>
    <s v="HUANCAYO"/>
    <s v="CHILCA"/>
    <x v="0"/>
    <x v="13"/>
    <x v="1"/>
  </r>
  <r>
    <d v="2026-05-27T00:00:00"/>
    <x v="0"/>
    <s v="HUANCAYO"/>
    <s v="SICAYA"/>
    <x v="2"/>
    <x v="13"/>
    <x v="1"/>
  </r>
  <r>
    <d v="2026-05-27T00:00:00"/>
    <x v="0"/>
    <s v="HUANCAYO"/>
    <s v="EL TAMBO"/>
    <x v="0"/>
    <x v="13"/>
    <x v="1"/>
  </r>
  <r>
    <d v="2026-05-27T00:00:00"/>
    <x v="0"/>
    <s v="HUANCAYO"/>
    <s v="EL TAMBO"/>
    <x v="0"/>
    <x v="13"/>
    <x v="1"/>
  </r>
  <r>
    <d v="2026-05-27T00:00:00"/>
    <x v="0"/>
    <s v="HUANCAYO"/>
    <s v="HUANCAYO"/>
    <x v="0"/>
    <x v="13"/>
    <x v="1"/>
  </r>
  <r>
    <d v="2026-05-27T00:00:00"/>
    <x v="0"/>
    <s v="HUANCAYO"/>
    <s v="CHILCA"/>
    <x v="0"/>
    <x v="13"/>
    <x v="0"/>
  </r>
  <r>
    <d v="2026-05-27T00:00:00"/>
    <x v="0"/>
    <s v="JAUJA"/>
    <s v="JAUJA"/>
    <x v="4"/>
    <x v="13"/>
    <x v="0"/>
  </r>
  <r>
    <d v="2026-05-27T00:00:00"/>
    <x v="0"/>
    <s v="HUANCAYO"/>
    <s v="SAN AGUSTIN"/>
    <x v="1"/>
    <x v="13"/>
    <x v="1"/>
  </r>
  <r>
    <d v="2026-05-27T00:00:00"/>
    <x v="0"/>
    <s v="HUANCAYO"/>
    <s v="HUANCAYO"/>
    <x v="1"/>
    <x v="13"/>
    <x v="0"/>
  </r>
  <r>
    <d v="2026-05-27T00:00:00"/>
    <x v="0"/>
    <s v="HUANCAYO"/>
    <s v="HUANCAYO"/>
    <x v="1"/>
    <x v="13"/>
    <x v="1"/>
  </r>
  <r>
    <d v="2026-05-27T00:00:00"/>
    <x v="0"/>
    <s v="HUANCAYO"/>
    <s v="EL TAMBO"/>
    <x v="1"/>
    <x v="13"/>
    <x v="1"/>
  </r>
  <r>
    <d v="2026-05-27T00:00:00"/>
    <x v="0"/>
    <s v="HUANCAYO"/>
    <s v="HUANCAYO"/>
    <x v="1"/>
    <x v="13"/>
    <x v="1"/>
  </r>
  <r>
    <d v="2026-05-27T00:00:00"/>
    <x v="0"/>
    <s v="HUANCAYO"/>
    <s v="SAN AGUSTIN"/>
    <x v="5"/>
    <x v="13"/>
    <x v="0"/>
  </r>
  <r>
    <d v="2026-05-27T00:00:00"/>
    <x v="0"/>
    <s v="HUANCAYO"/>
    <s v="EL TAMBO"/>
    <x v="1"/>
    <x v="13"/>
    <x v="1"/>
  </r>
  <r>
    <d v="2026-05-27T00:00:00"/>
    <x v="0"/>
    <s v="CONCEPCION"/>
    <s v="CONCEPCION"/>
    <x v="1"/>
    <x v="13"/>
    <x v="1"/>
  </r>
  <r>
    <d v="2026-05-27T00:00:00"/>
    <x v="0"/>
    <s v="CHUPACA"/>
    <s v="HUAMANCACA CHICO"/>
    <x v="1"/>
    <x v="13"/>
    <x v="1"/>
  </r>
  <r>
    <d v="2026-05-27T00:00:00"/>
    <x v="0"/>
    <s v="HUANCAYO"/>
    <s v="HUANCAN"/>
    <x v="1"/>
    <x v="13"/>
    <x v="0"/>
  </r>
  <r>
    <d v="2026-05-27T00:00:00"/>
    <x v="0"/>
    <s v="HUANCAYO"/>
    <s v="EL TAMBO"/>
    <x v="1"/>
    <x v="13"/>
    <x v="1"/>
  </r>
  <r>
    <d v="2026-05-27T00:00:00"/>
    <x v="0"/>
    <s v="HUANCAYO"/>
    <s v="SAN AGUSTIN"/>
    <x v="1"/>
    <x v="13"/>
    <x v="1"/>
  </r>
  <r>
    <d v="2026-05-27T00:00:00"/>
    <x v="0"/>
    <s v="HUANCAYO"/>
    <s v="CHILCA"/>
    <x v="1"/>
    <x v="13"/>
    <x v="1"/>
  </r>
  <r>
    <d v="2026-05-27T00:00:00"/>
    <x v="5"/>
    <s v="ANDAHUAYLAS"/>
    <s v="ANDAHUAYLAS"/>
    <x v="1"/>
    <x v="18"/>
    <x v="1"/>
  </r>
  <r>
    <d v="2026-05-27T00:00:00"/>
    <x v="0"/>
    <s v="JAUJA"/>
    <s v="JAUJA"/>
    <x v="1"/>
    <x v="18"/>
    <x v="0"/>
  </r>
  <r>
    <d v="2026-05-27T00:00:00"/>
    <x v="0"/>
    <s v="HUANCAYO"/>
    <s v="CHILCA"/>
    <x v="1"/>
    <x v="18"/>
    <x v="1"/>
  </r>
  <r>
    <d v="2026-05-27T00:00:00"/>
    <x v="0"/>
    <s v="HUANCAYO"/>
    <s v="HUANCAYO"/>
    <x v="1"/>
    <x v="18"/>
    <x v="0"/>
  </r>
  <r>
    <d v="2026-05-27T00:00:00"/>
    <x v="0"/>
    <s v="HUANCAYO"/>
    <s v="HUANCAYO"/>
    <x v="1"/>
    <x v="18"/>
    <x v="1"/>
  </r>
  <r>
    <d v="2026-05-27T00:00:00"/>
    <x v="0"/>
    <s v="HUANCAYO"/>
    <s v="HUANCAYO"/>
    <x v="1"/>
    <x v="18"/>
    <x v="1"/>
  </r>
  <r>
    <d v="2026-05-27T00:00:00"/>
    <x v="0"/>
    <s v="HUANCAYO"/>
    <s v="EL TAMBO"/>
    <x v="1"/>
    <x v="18"/>
    <x v="1"/>
  </r>
  <r>
    <d v="2026-05-27T00:00:00"/>
    <x v="0"/>
    <s v="HUANCAYO"/>
    <s v="EL TAMBO"/>
    <x v="1"/>
    <x v="18"/>
    <x v="1"/>
  </r>
  <r>
    <d v="2026-05-27T00:00:00"/>
    <x v="0"/>
    <s v="HUANCAYO"/>
    <s v="HUANCAYO"/>
    <x v="1"/>
    <x v="18"/>
    <x v="1"/>
  </r>
  <r>
    <d v="2026-05-27T00:00:00"/>
    <x v="0"/>
    <s v="HUANCAYO"/>
    <s v="EL TAMBO"/>
    <x v="1"/>
    <x v="18"/>
    <x v="0"/>
  </r>
  <r>
    <d v="2026-05-27T00:00:00"/>
    <x v="0"/>
    <s v="HUANCAYO"/>
    <s v="SAN AGUSTIN"/>
    <x v="0"/>
    <x v="18"/>
    <x v="1"/>
  </r>
  <r>
    <d v="2026-05-27T00:00:00"/>
    <x v="0"/>
    <s v="HUANCAYO"/>
    <s v="EL TAMBO"/>
    <x v="4"/>
    <x v="18"/>
    <x v="1"/>
  </r>
  <r>
    <d v="2026-05-27T00:00:00"/>
    <x v="0"/>
    <s v="HUANCAYO"/>
    <s v="HUALHUAS"/>
    <x v="0"/>
    <x v="18"/>
    <x v="1"/>
  </r>
  <r>
    <d v="2026-05-27T00:00:00"/>
    <x v="0"/>
    <s v="HUANCAYO"/>
    <s v="SICAYA"/>
    <x v="0"/>
    <x v="18"/>
    <x v="1"/>
  </r>
  <r>
    <d v="2026-05-27T00:00:00"/>
    <x v="0"/>
    <s v="HUANCAYO"/>
    <s v="SAN AGUSTIN"/>
    <x v="0"/>
    <x v="18"/>
    <x v="1"/>
  </r>
  <r>
    <d v="2026-05-27T00:00:00"/>
    <x v="0"/>
    <s v="HUANCAYO"/>
    <s v="EL TAMBO"/>
    <x v="1"/>
    <x v="18"/>
    <x v="0"/>
  </r>
  <r>
    <d v="2026-05-27T00:00:00"/>
    <x v="0"/>
    <s v="HUANCAYO"/>
    <s v="HUANCAYO"/>
    <x v="0"/>
    <x v="18"/>
    <x v="0"/>
  </r>
  <r>
    <d v="2026-05-27T00:00:00"/>
    <x v="1"/>
    <s v="TAYACAJA"/>
    <s v="PAMPAS"/>
    <x v="8"/>
    <x v="18"/>
    <x v="1"/>
  </r>
  <r>
    <d v="2026-05-27T00:00:00"/>
    <x v="0"/>
    <s v="HUANCAYO"/>
    <s v="EL TAMBO"/>
    <x v="1"/>
    <x v="18"/>
    <x v="0"/>
  </r>
  <r>
    <d v="2026-05-27T00:00:00"/>
    <x v="0"/>
    <s v="CHANCHAMAYO"/>
    <s v="CHANCHAMAYO"/>
    <x v="1"/>
    <x v="18"/>
    <x v="1"/>
  </r>
  <r>
    <d v="2026-05-27T00:00:00"/>
    <x v="0"/>
    <s v="HUANCAYO"/>
    <s v="EL TAMBO"/>
    <x v="1"/>
    <x v="18"/>
    <x v="1"/>
  </r>
  <r>
    <d v="2026-05-27T00:00:00"/>
    <x v="0"/>
    <s v="HUANCAYO"/>
    <s v="HUANCAYO"/>
    <x v="0"/>
    <x v="18"/>
    <x v="1"/>
  </r>
  <r>
    <d v="2026-05-27T00:00:00"/>
    <x v="0"/>
    <s v="JAUJA"/>
    <s v="JAUJA"/>
    <x v="1"/>
    <x v="18"/>
    <x v="0"/>
  </r>
  <r>
    <d v="2026-05-27T00:00:00"/>
    <x v="0"/>
    <s v="HUANCAYO"/>
    <s v="HUANCAYO"/>
    <x v="0"/>
    <x v="18"/>
    <x v="1"/>
  </r>
  <r>
    <d v="2026-05-27T00:00:00"/>
    <x v="0"/>
    <s v="HUANCAYO"/>
    <s v="CARHUACALLANGA"/>
    <x v="2"/>
    <x v="18"/>
    <x v="1"/>
  </r>
  <r>
    <d v="2026-05-27T00:00:00"/>
    <x v="0"/>
    <s v="TARMA"/>
    <s v="TARMA"/>
    <x v="1"/>
    <x v="18"/>
    <x v="1"/>
  </r>
  <r>
    <d v="2026-05-27T00:00:00"/>
    <x v="0"/>
    <s v="YAULI"/>
    <s v="SUITUCANCHA"/>
    <x v="3"/>
    <x v="18"/>
    <x v="1"/>
  </r>
  <r>
    <d v="2026-05-27T00:00:00"/>
    <x v="0"/>
    <s v="HUANCAYO"/>
    <s v="CHILCA"/>
    <x v="1"/>
    <x v="18"/>
    <x v="0"/>
  </r>
  <r>
    <d v="2026-05-27T00:00:00"/>
    <x v="0"/>
    <s v="HUANCAYO"/>
    <s v="EL TAMBO"/>
    <x v="1"/>
    <x v="19"/>
    <x v="1"/>
  </r>
  <r>
    <d v="2026-05-27T00:00:00"/>
    <x v="0"/>
    <s v="HUANCAYO"/>
    <s v="HUANCAN"/>
    <x v="0"/>
    <x v="19"/>
    <x v="1"/>
  </r>
  <r>
    <d v="2026-05-27T00:00:00"/>
    <x v="0"/>
    <s v="HUANCAYO"/>
    <s v="HUANCAYO"/>
    <x v="1"/>
    <x v="19"/>
    <x v="1"/>
  </r>
  <r>
    <d v="2026-05-27T00:00:00"/>
    <x v="0"/>
    <s v="HUANCAYO"/>
    <s v="EL TAMBO"/>
    <x v="0"/>
    <x v="19"/>
    <x v="1"/>
  </r>
  <r>
    <d v="2026-05-27T00:00:00"/>
    <x v="0"/>
    <s v="HUANCAYO"/>
    <s v="EL TAMBO"/>
    <x v="1"/>
    <x v="19"/>
    <x v="1"/>
  </r>
  <r>
    <d v="2026-05-27T00:00:00"/>
    <x v="0"/>
    <s v="HUANCAYO"/>
    <s v="EL TAMBO"/>
    <x v="0"/>
    <x v="19"/>
    <x v="1"/>
  </r>
  <r>
    <d v="2026-05-27T00:00:00"/>
    <x v="0"/>
    <s v="HUANCAYO"/>
    <s v="CHILCA"/>
    <x v="1"/>
    <x v="19"/>
    <x v="0"/>
  </r>
  <r>
    <d v="2026-05-27T00:00:00"/>
    <x v="0"/>
    <s v="HUANCAYO"/>
    <s v="EL TAMBO"/>
    <x v="0"/>
    <x v="19"/>
    <x v="1"/>
  </r>
  <r>
    <d v="2026-05-27T00:00:00"/>
    <x v="0"/>
    <s v="HUANCAYO"/>
    <s v="EL TAMBO"/>
    <x v="0"/>
    <x v="19"/>
    <x v="1"/>
  </r>
  <r>
    <d v="2026-05-27T00:00:00"/>
    <x v="0"/>
    <s v="HUANCAYO"/>
    <s v="HUANCAN"/>
    <x v="1"/>
    <x v="19"/>
    <x v="1"/>
  </r>
  <r>
    <d v="2026-05-27T00:00:00"/>
    <x v="0"/>
    <s v="HUANCAYO"/>
    <s v="EL TAMBO"/>
    <x v="1"/>
    <x v="19"/>
    <x v="1"/>
  </r>
  <r>
    <d v="2026-05-27T00:00:00"/>
    <x v="0"/>
    <s v="HUANCAYO"/>
    <s v="EL TAMBO"/>
    <x v="1"/>
    <x v="19"/>
    <x v="1"/>
  </r>
  <r>
    <d v="2026-05-27T00:00:00"/>
    <x v="0"/>
    <s v="HUANCAYO"/>
    <s v="EL TAMBO"/>
    <x v="2"/>
    <x v="19"/>
    <x v="0"/>
  </r>
  <r>
    <d v="2026-05-27T00:00:00"/>
    <x v="0"/>
    <s v="HUANCAYO"/>
    <s v="EL TAMBO"/>
    <x v="0"/>
    <x v="19"/>
    <x v="1"/>
  </r>
  <r>
    <d v="2026-05-27T00:00:00"/>
    <x v="0"/>
    <s v="HUANCAYO"/>
    <s v="PILCOMAYO"/>
    <x v="1"/>
    <x v="19"/>
    <x v="1"/>
  </r>
  <r>
    <d v="2026-05-27T00:00:00"/>
    <x v="0"/>
    <s v="HUANCAYO"/>
    <s v="CHILCA"/>
    <x v="1"/>
    <x v="19"/>
    <x v="1"/>
  </r>
  <r>
    <d v="2026-05-27T00:00:00"/>
    <x v="0"/>
    <s v="HUANCAYO"/>
    <s v="HUALHUAS"/>
    <x v="1"/>
    <x v="19"/>
    <x v="1"/>
  </r>
  <r>
    <d v="2026-05-27T00:00:00"/>
    <x v="0"/>
    <s v="HUANCAYO"/>
    <s v="EL TAMBO"/>
    <x v="1"/>
    <x v="19"/>
    <x v="1"/>
  </r>
  <r>
    <d v="2026-05-27T00:00:00"/>
    <x v="0"/>
    <s v="CHANCHAMAYO"/>
    <s v="PERENE"/>
    <x v="1"/>
    <x v="19"/>
    <x v="1"/>
  </r>
  <r>
    <d v="2026-05-27T00:00:00"/>
    <x v="0"/>
    <s v="HUANCAYO"/>
    <s v="HUANCAYO"/>
    <x v="0"/>
    <x v="19"/>
    <x v="1"/>
  </r>
  <r>
    <d v="2026-05-27T00:00:00"/>
    <x v="0"/>
    <s v="HUANCAYO"/>
    <s v="EL TAMBO"/>
    <x v="1"/>
    <x v="19"/>
    <x v="1"/>
  </r>
  <r>
    <d v="2026-05-27T00:00:00"/>
    <x v="0"/>
    <s v="HUANCAYO"/>
    <s v="CHILCA"/>
    <x v="0"/>
    <x v="19"/>
    <x v="0"/>
  </r>
  <r>
    <d v="2026-05-27T00:00:00"/>
    <x v="0"/>
    <s v="CHUPACA"/>
    <s v="CHUPACA"/>
    <x v="1"/>
    <x v="19"/>
    <x v="1"/>
  </r>
  <r>
    <d v="2026-05-27T00:00:00"/>
    <x v="0"/>
    <s v="HUANCAYO"/>
    <s v="SAPALLANGA"/>
    <x v="0"/>
    <x v="19"/>
    <x v="1"/>
  </r>
  <r>
    <d v="2026-05-27T00:00:00"/>
    <x v="0"/>
    <s v="HUANCAYO"/>
    <s v="HUANCAYO"/>
    <x v="0"/>
    <x v="19"/>
    <x v="1"/>
  </r>
  <r>
    <d v="2026-05-27T00:00:00"/>
    <x v="0"/>
    <s v="HUANCAYO"/>
    <s v="CHILCA"/>
    <x v="1"/>
    <x v="19"/>
    <x v="1"/>
  </r>
  <r>
    <d v="2026-05-27T00:00:00"/>
    <x v="0"/>
    <s v="HUANCAYO"/>
    <s v="CHILCA"/>
    <x v="1"/>
    <x v="19"/>
    <x v="1"/>
  </r>
  <r>
    <d v="2026-05-27T00:00:00"/>
    <x v="0"/>
    <s v="HUANCAYO"/>
    <s v="QUILCAS"/>
    <x v="0"/>
    <x v="19"/>
    <x v="1"/>
  </r>
  <r>
    <d v="2026-05-27T00:00:00"/>
    <x v="1"/>
    <s v="HUANCAVELICA"/>
    <s v="HUANCAVELICA"/>
    <x v="1"/>
    <x v="19"/>
    <x v="1"/>
  </r>
  <r>
    <d v="2026-05-27T00:00:00"/>
    <x v="0"/>
    <s v="HUANCAYO"/>
    <s v="HUANCAYO"/>
    <x v="0"/>
    <x v="19"/>
    <x v="1"/>
  </r>
  <r>
    <d v="2026-05-27T00:00:00"/>
    <x v="0"/>
    <s v="JUNIN"/>
    <s v="JUNIN"/>
    <x v="0"/>
    <x v="20"/>
    <x v="1"/>
  </r>
  <r>
    <d v="2026-05-27T00:00:00"/>
    <x v="0"/>
    <s v="CONCEPCION"/>
    <s v="MANZANARES"/>
    <x v="3"/>
    <x v="20"/>
    <x v="1"/>
  </r>
  <r>
    <d v="2026-05-27T00:00:00"/>
    <x v="2"/>
    <s v="HUAURA"/>
    <s v="SANTA MARIA"/>
    <x v="1"/>
    <x v="20"/>
    <x v="0"/>
  </r>
  <r>
    <d v="2026-05-27T00:00:00"/>
    <x v="0"/>
    <s v="JAUJA"/>
    <s v="MOLINOS"/>
    <x v="1"/>
    <x v="20"/>
    <x v="0"/>
  </r>
  <r>
    <d v="2026-05-27T00:00:00"/>
    <x v="0"/>
    <s v="SATIPO"/>
    <s v="MAZAMARI"/>
    <x v="1"/>
    <x v="20"/>
    <x v="0"/>
  </r>
  <r>
    <d v="2026-05-27T00:00:00"/>
    <x v="0"/>
    <s v="HUANCAYO"/>
    <s v="HUANCAN"/>
    <x v="0"/>
    <x v="20"/>
    <x v="0"/>
  </r>
  <r>
    <d v="2026-05-27T00:00:00"/>
    <x v="0"/>
    <s v="CONCEPCION"/>
    <s v="ORCOTUNA"/>
    <x v="0"/>
    <x v="20"/>
    <x v="0"/>
  </r>
  <r>
    <d v="2026-05-27T00:00:00"/>
    <x v="0"/>
    <s v="CONCEPCION"/>
    <s v="CONCEPCION"/>
    <x v="1"/>
    <x v="20"/>
    <x v="1"/>
  </r>
  <r>
    <d v="2026-05-27T00:00:00"/>
    <x v="0"/>
    <s v="YAULI"/>
    <s v="LA OROYA"/>
    <x v="1"/>
    <x v="20"/>
    <x v="0"/>
  </r>
  <r>
    <d v="2026-05-27T00:00:00"/>
    <x v="2"/>
    <s v="YAUYOS"/>
    <s v="VITIS"/>
    <x v="0"/>
    <x v="20"/>
    <x v="1"/>
  </r>
  <r>
    <d v="2026-05-27T00:00:00"/>
    <x v="0"/>
    <s v="HUANCAYO"/>
    <s v="HUALHUAS"/>
    <x v="1"/>
    <x v="20"/>
    <x v="1"/>
  </r>
  <r>
    <d v="2026-05-27T00:00:00"/>
    <x v="0"/>
    <s v="HUANCAYO"/>
    <s v="EL TAMBO"/>
    <x v="1"/>
    <x v="20"/>
    <x v="0"/>
  </r>
  <r>
    <d v="2026-05-27T00:00:00"/>
    <x v="0"/>
    <s v="CHANCHAMAYO"/>
    <s v="PERENE"/>
    <x v="1"/>
    <x v="20"/>
    <x v="0"/>
  </r>
  <r>
    <d v="2026-05-27T00:00:00"/>
    <x v="0"/>
    <s v="HUANCAYO"/>
    <s v="CHILCA"/>
    <x v="1"/>
    <x v="20"/>
    <x v="0"/>
  </r>
  <r>
    <d v="2026-05-27T00:00:00"/>
    <x v="0"/>
    <s v="HUANCAYO"/>
    <s v="HUANCAYO"/>
    <x v="1"/>
    <x v="20"/>
    <x v="0"/>
  </r>
  <r>
    <d v="2026-05-27T00:00:00"/>
    <x v="0"/>
    <s v="HUANCAYO"/>
    <s v="VIQUES"/>
    <x v="1"/>
    <x v="20"/>
    <x v="0"/>
  </r>
  <r>
    <d v="2026-05-27T00:00:00"/>
    <x v="0"/>
    <s v="HUANCAYO"/>
    <s v="HUANCAYO"/>
    <x v="1"/>
    <x v="20"/>
    <x v="1"/>
  </r>
  <r>
    <d v="2026-05-27T00:00:00"/>
    <x v="0"/>
    <s v="HUANCAYO"/>
    <s v="CARHUACALLANGA"/>
    <x v="1"/>
    <x v="20"/>
    <x v="1"/>
  </r>
  <r>
    <d v="2026-05-27T00:00:00"/>
    <x v="0"/>
    <s v="HUANCAYO"/>
    <s v="EL TAMBO"/>
    <x v="1"/>
    <x v="20"/>
    <x v="0"/>
  </r>
  <r>
    <d v="2026-05-27T00:00:00"/>
    <x v="0"/>
    <s v="CHANCHAMAYO"/>
    <s v="PERENE"/>
    <x v="0"/>
    <x v="21"/>
    <x v="0"/>
  </r>
  <r>
    <d v="2026-05-27T00:00:00"/>
    <x v="0"/>
    <s v="SATIPO"/>
    <s v="RIO NEGRO"/>
    <x v="1"/>
    <x v="21"/>
    <x v="1"/>
  </r>
  <r>
    <d v="2026-05-27T00:00:00"/>
    <x v="0"/>
    <s v="SATIPO"/>
    <s v="MAZAMARI"/>
    <x v="0"/>
    <x v="21"/>
    <x v="0"/>
  </r>
  <r>
    <d v="2026-05-27T00:00:00"/>
    <x v="6"/>
    <s v="CORONEL PORTILLO"/>
    <s v="CALLERIA"/>
    <x v="1"/>
    <x v="21"/>
    <x v="0"/>
  </r>
  <r>
    <d v="2026-05-27T00:00:00"/>
    <x v="0"/>
    <s v="SATIPO"/>
    <s v="RIO NEGRO"/>
    <x v="1"/>
    <x v="22"/>
    <x v="1"/>
  </r>
  <r>
    <d v="2026-05-27T00:00:00"/>
    <x v="0"/>
    <s v="SATIPO"/>
    <s v="SATIPO"/>
    <x v="0"/>
    <x v="22"/>
    <x v="0"/>
  </r>
  <r>
    <d v="2026-05-27T00:00:00"/>
    <x v="0"/>
    <s v="SATIPO"/>
    <s v="MAZAMARI"/>
    <x v="1"/>
    <x v="22"/>
    <x v="1"/>
  </r>
  <r>
    <d v="2026-05-27T00:00:00"/>
    <x v="0"/>
    <s v="HUANCAYO"/>
    <s v="EL TAMBO"/>
    <x v="1"/>
    <x v="23"/>
    <x v="1"/>
  </r>
  <r>
    <d v="2026-05-27T00:00:00"/>
    <x v="0"/>
    <s v="CONCEPCION"/>
    <s v="COMAS"/>
    <x v="0"/>
    <x v="23"/>
    <x v="1"/>
  </r>
  <r>
    <d v="2026-05-27T00:00:00"/>
    <x v="1"/>
    <s v="TAYACAJA"/>
    <s v="AHUAYCHA"/>
    <x v="1"/>
    <x v="23"/>
    <x v="1"/>
  </r>
  <r>
    <d v="2026-05-27T00:00:00"/>
    <x v="0"/>
    <s v="HUANCAYO"/>
    <s v="EL TAMBO"/>
    <x v="1"/>
    <x v="23"/>
    <x v="1"/>
  </r>
  <r>
    <d v="2026-05-27T00:00:00"/>
    <x v="0"/>
    <s v="HUANCAYO"/>
    <s v="HUALHUAS"/>
    <x v="5"/>
    <x v="23"/>
    <x v="1"/>
  </r>
  <r>
    <d v="2026-05-27T00:00:00"/>
    <x v="0"/>
    <s v="HUANCAYO"/>
    <s v="CHILCA"/>
    <x v="1"/>
    <x v="23"/>
    <x v="1"/>
  </r>
  <r>
    <d v="2026-05-27T00:00:00"/>
    <x v="0"/>
    <s v="HUANCAYO"/>
    <s v="EL TAMBO"/>
    <x v="1"/>
    <x v="23"/>
    <x v="1"/>
  </r>
  <r>
    <d v="2026-05-27T00:00:00"/>
    <x v="0"/>
    <s v="HUANCAYO"/>
    <s v="EL TAMBO"/>
    <x v="1"/>
    <x v="23"/>
    <x v="1"/>
  </r>
  <r>
    <d v="2026-05-27T00:00:00"/>
    <x v="0"/>
    <s v="CHANCHAMAYO"/>
    <s v="PERENE"/>
    <x v="1"/>
    <x v="16"/>
    <x v="0"/>
  </r>
  <r>
    <d v="2026-05-27T00:00:00"/>
    <x v="0"/>
    <s v="CHUPACA"/>
    <s v="CHUPACA"/>
    <x v="1"/>
    <x v="23"/>
    <x v="1"/>
  </r>
  <r>
    <d v="2026-05-27T00:00:00"/>
    <x v="7"/>
    <s v="CALLAO"/>
    <s v="BELLAVISTA"/>
    <x v="1"/>
    <x v="23"/>
    <x v="1"/>
  </r>
  <r>
    <d v="2026-05-27T00:00:00"/>
    <x v="0"/>
    <s v="CONCEPCION"/>
    <s v="MATAHUASI"/>
    <x v="1"/>
    <x v="23"/>
    <x v="1"/>
  </r>
  <r>
    <d v="2026-05-27T00:00:00"/>
    <x v="0"/>
    <s v="HUANCAYO"/>
    <s v="HUANCAYO"/>
    <x v="1"/>
    <x v="23"/>
    <x v="1"/>
  </r>
  <r>
    <d v="2026-05-27T00:00:00"/>
    <x v="2"/>
    <s v="LIMA"/>
    <s v="EL AGUSTINO"/>
    <x v="1"/>
    <x v="23"/>
    <x v="1"/>
  </r>
  <r>
    <d v="2026-05-27T00:00:00"/>
    <x v="0"/>
    <s v="HUANCAYO"/>
    <s v="CHILCA"/>
    <x v="1"/>
    <x v="23"/>
    <x v="1"/>
  </r>
  <r>
    <d v="2026-05-27T00:00:00"/>
    <x v="0"/>
    <s v="HUANCAYO"/>
    <s v="EL TAMBO"/>
    <x v="1"/>
    <x v="23"/>
    <x v="1"/>
  </r>
  <r>
    <d v="2026-05-27T00:00:00"/>
    <x v="0"/>
    <s v="HUANCAYO"/>
    <s v="EL TAMBO"/>
    <x v="3"/>
    <x v="23"/>
    <x v="1"/>
  </r>
  <r>
    <d v="2026-05-27T00:00:00"/>
    <x v="2"/>
    <s v="LIMA"/>
    <s v="LA VICTORIA"/>
    <x v="1"/>
    <x v="23"/>
    <x v="1"/>
  </r>
  <r>
    <d v="2026-05-27T00:00:00"/>
    <x v="0"/>
    <s v="HUANCAYO"/>
    <s v="HUANCAYO"/>
    <x v="0"/>
    <x v="23"/>
    <x v="1"/>
  </r>
  <r>
    <d v="2026-05-27T00:00:00"/>
    <x v="0"/>
    <s v="HUANCAYO"/>
    <s v="CHILCA"/>
    <x v="0"/>
    <x v="23"/>
    <x v="1"/>
  </r>
  <r>
    <d v="2026-05-27T00:00:00"/>
    <x v="0"/>
    <s v="HUANCAYO"/>
    <s v="SICAYA"/>
    <x v="1"/>
    <x v="23"/>
    <x v="1"/>
  </r>
  <r>
    <d v="2026-05-27T00:00:00"/>
    <x v="1"/>
    <s v="TAYACAJA"/>
    <s v="SANTIAGO DE TUCUMA"/>
    <x v="1"/>
    <x v="23"/>
    <x v="1"/>
  </r>
  <r>
    <d v="2026-05-27T00:00:00"/>
    <x v="0"/>
    <s v="HUANCAYO"/>
    <s v="EL TAMBO"/>
    <x v="4"/>
    <x v="23"/>
    <x v="1"/>
  </r>
  <r>
    <d v="2026-05-27T00:00:00"/>
    <x v="0"/>
    <s v="HUANCAYO"/>
    <s v="EL TAMBO"/>
    <x v="1"/>
    <x v="23"/>
    <x v="1"/>
  </r>
  <r>
    <d v="2026-05-27T00:00:00"/>
    <x v="0"/>
    <s v="HUANCAYO"/>
    <s v="EL TAMBO"/>
    <x v="1"/>
    <x v="23"/>
    <x v="1"/>
  </r>
  <r>
    <d v="2026-05-27T00:00:00"/>
    <x v="0"/>
    <s v="HUANCAYO"/>
    <s v="HUANCAYO"/>
    <x v="0"/>
    <x v="23"/>
    <x v="1"/>
  </r>
  <r>
    <d v="2026-05-27T00:00:00"/>
    <x v="0"/>
    <s v="HUANCAYO"/>
    <s v="PILCOMAYO"/>
    <x v="1"/>
    <x v="23"/>
    <x v="1"/>
  </r>
  <r>
    <d v="2026-05-27T00:00:00"/>
    <x v="0"/>
    <s v="JUNIN"/>
    <s v="JUNIN"/>
    <x v="0"/>
    <x v="23"/>
    <x v="1"/>
  </r>
  <r>
    <d v="2026-05-27T00:00:00"/>
    <x v="0"/>
    <s v="HUANCAYO"/>
    <s v="HUANCAYO"/>
    <x v="0"/>
    <x v="23"/>
    <x v="1"/>
  </r>
  <r>
    <d v="2026-05-27T00:00:00"/>
    <x v="0"/>
    <s v="YAULI"/>
    <s v="SANTA ROSA DE SACCO"/>
    <x v="1"/>
    <x v="23"/>
    <x v="1"/>
  </r>
  <r>
    <d v="2026-05-27T00:00:00"/>
    <x v="2"/>
    <s v="HUAROCHIRI"/>
    <s v="CHICLA"/>
    <x v="1"/>
    <x v="23"/>
    <x v="1"/>
  </r>
  <r>
    <d v="2026-05-27T00:00:00"/>
    <x v="0"/>
    <s v="HUANCAYO"/>
    <s v="EL TAMBO"/>
    <x v="1"/>
    <x v="23"/>
    <x v="1"/>
  </r>
  <r>
    <d v="2026-05-27T00:00:00"/>
    <x v="2"/>
    <s v="LIMA"/>
    <s v="SANTA ANITA"/>
    <x v="0"/>
    <x v="23"/>
    <x v="1"/>
  </r>
  <r>
    <d v="2026-05-27T00:00:00"/>
    <x v="0"/>
    <s v="HUANCAYO"/>
    <s v="PILCOMAYO"/>
    <x v="1"/>
    <x v="23"/>
    <x v="1"/>
  </r>
  <r>
    <d v="2026-05-27T00:00:00"/>
    <x v="0"/>
    <s v="HUANCAYO"/>
    <s v="PILCOMAYO"/>
    <x v="0"/>
    <x v="23"/>
    <x v="1"/>
  </r>
  <r>
    <d v="2026-05-27T00:00:00"/>
    <x v="8"/>
    <s v="ICA"/>
    <s v="SANTIAGO"/>
    <x v="1"/>
    <x v="23"/>
    <x v="1"/>
  </r>
  <r>
    <d v="2026-05-27T00:00:00"/>
    <x v="1"/>
    <s v="HUANCAVELICA"/>
    <s v="YAULI"/>
    <x v="0"/>
    <x v="23"/>
    <x v="1"/>
  </r>
  <r>
    <d v="2026-05-27T00:00:00"/>
    <x v="0"/>
    <s v="HUANCAYO"/>
    <s v="HUANCAYO"/>
    <x v="1"/>
    <x v="23"/>
    <x v="1"/>
  </r>
  <r>
    <d v="2026-05-27T00:00:00"/>
    <x v="0"/>
    <s v="HUANCAYO"/>
    <s v="PILCOMAYO"/>
    <x v="0"/>
    <x v="23"/>
    <x v="1"/>
  </r>
  <r>
    <d v="2026-05-27T00:00:00"/>
    <x v="0"/>
    <s v="CONCEPCION"/>
    <s v="CONCEPCION"/>
    <x v="1"/>
    <x v="23"/>
    <x v="1"/>
  </r>
  <r>
    <d v="2026-05-27T00:00:00"/>
    <x v="0"/>
    <s v="HUANCAYO"/>
    <s v="SAN AGUSTIN"/>
    <x v="1"/>
    <x v="24"/>
    <x v="1"/>
  </r>
  <r>
    <d v="2026-05-27T00:00:00"/>
    <x v="0"/>
    <s v="HUANCAYO"/>
    <s v="EL TAMBO"/>
    <x v="1"/>
    <x v="24"/>
    <x v="1"/>
  </r>
  <r>
    <d v="2026-05-27T00:00:00"/>
    <x v="0"/>
    <s v="HUANCAYO"/>
    <s v="EL TAMBO"/>
    <x v="1"/>
    <x v="24"/>
    <x v="0"/>
  </r>
  <r>
    <d v="2026-05-27T00:00:00"/>
    <x v="0"/>
    <s v="JAUJA"/>
    <s v="JAUJA"/>
    <x v="1"/>
    <x v="24"/>
    <x v="1"/>
  </r>
  <r>
    <d v="2026-05-27T00:00:00"/>
    <x v="0"/>
    <s v="CHUPACA"/>
    <s v="SAN JUAN DE ISCOS"/>
    <x v="1"/>
    <x v="24"/>
    <x v="1"/>
  </r>
  <r>
    <d v="2026-05-27T00:00:00"/>
    <x v="0"/>
    <s v="HUANCAYO"/>
    <s v="HUANCAN"/>
    <x v="1"/>
    <x v="24"/>
    <x v="1"/>
  </r>
  <r>
    <d v="2026-05-27T00:00:00"/>
    <x v="0"/>
    <s v="HUANCAYO"/>
    <s v="EL TAMBO"/>
    <x v="0"/>
    <x v="24"/>
    <x v="0"/>
  </r>
  <r>
    <d v="2026-05-27T00:00:00"/>
    <x v="0"/>
    <s v="HUANCAYO"/>
    <s v="EL TAMBO"/>
    <x v="0"/>
    <x v="24"/>
    <x v="0"/>
  </r>
  <r>
    <d v="2026-05-27T00:00:00"/>
    <x v="0"/>
    <s v="HUANCAYO"/>
    <s v="HUANCAYO"/>
    <x v="1"/>
    <x v="24"/>
    <x v="1"/>
  </r>
  <r>
    <d v="2026-05-27T00:00:00"/>
    <x v="0"/>
    <s v="HUANCAYO"/>
    <s v="HUANCAN"/>
    <x v="0"/>
    <x v="24"/>
    <x v="0"/>
  </r>
  <r>
    <d v="2026-05-27T00:00:00"/>
    <x v="0"/>
    <s v="HUANCAYO"/>
    <s v="EL TAMBO"/>
    <x v="0"/>
    <x v="24"/>
    <x v="1"/>
  </r>
  <r>
    <d v="2026-05-27T00:00:00"/>
    <x v="0"/>
    <s v="HUANCAYO"/>
    <s v="CHILCA"/>
    <x v="1"/>
    <x v="24"/>
    <x v="1"/>
  </r>
  <r>
    <d v="2026-05-27T00:00:00"/>
    <x v="0"/>
    <s v="HUANCAYO"/>
    <s v="SAN JERONIMO DE TUNAN"/>
    <x v="2"/>
    <x v="24"/>
    <x v="0"/>
  </r>
  <r>
    <d v="2026-05-27T00:00:00"/>
    <x v="1"/>
    <s v="TAYACAJA"/>
    <s v="HUARIBAMBA"/>
    <x v="0"/>
    <x v="24"/>
    <x v="1"/>
  </r>
  <r>
    <d v="2026-05-27T00:00:00"/>
    <x v="0"/>
    <s v="CHUPACA"/>
    <s v="CHUPACA"/>
    <x v="0"/>
    <x v="24"/>
    <x v="1"/>
  </r>
  <r>
    <d v="2026-05-27T00:00:00"/>
    <x v="0"/>
    <s v="HUANCAYO"/>
    <s v="EL TAMBO"/>
    <x v="1"/>
    <x v="24"/>
    <x v="0"/>
  </r>
  <r>
    <d v="2026-05-27T00:00:00"/>
    <x v="0"/>
    <s v="JAUJA"/>
    <s v="JAUJA"/>
    <x v="1"/>
    <x v="24"/>
    <x v="1"/>
  </r>
  <r>
    <d v="2026-05-27T00:00:00"/>
    <x v="0"/>
    <s v="HUANCAYO"/>
    <s v="CHILCA"/>
    <x v="1"/>
    <x v="24"/>
    <x v="1"/>
  </r>
  <r>
    <d v="2026-05-27T00:00:00"/>
    <x v="0"/>
    <s v="HUANCAYO"/>
    <s v="HUAYUCACHI"/>
    <x v="1"/>
    <x v="24"/>
    <x v="1"/>
  </r>
  <r>
    <d v="2026-05-27T00:00:00"/>
    <x v="0"/>
    <s v="HUANCAYO"/>
    <s v="CHILCA"/>
    <x v="1"/>
    <x v="24"/>
    <x v="1"/>
  </r>
  <r>
    <d v="2026-05-27T00:00:00"/>
    <x v="0"/>
    <s v="CHANCHAMAYO"/>
    <s v="PICHANAQUI"/>
    <x v="0"/>
    <x v="24"/>
    <x v="1"/>
  </r>
  <r>
    <d v="2026-05-27T00:00:00"/>
    <x v="0"/>
    <s v="HUANCAYO"/>
    <s v="QUILCAS"/>
    <x v="1"/>
    <x v="24"/>
    <x v="1"/>
  </r>
  <r>
    <d v="2026-05-27T00:00:00"/>
    <x v="0"/>
    <s v="HUANCAYO"/>
    <s v="CHILCA"/>
    <x v="1"/>
    <x v="24"/>
    <x v="0"/>
  </r>
  <r>
    <d v="2026-05-27T00:00:00"/>
    <x v="0"/>
    <s v="HUANCAYO"/>
    <s v="EL TAMBO"/>
    <x v="1"/>
    <x v="24"/>
    <x v="0"/>
  </r>
  <r>
    <d v="2026-05-27T00:00:00"/>
    <x v="0"/>
    <s v="CONCEPCION"/>
    <s v="MARISCAL CASTILLA"/>
    <x v="1"/>
    <x v="24"/>
    <x v="1"/>
  </r>
  <r>
    <d v="2026-05-27T00:00:00"/>
    <x v="0"/>
    <s v="CHANCHAMAYO"/>
    <s v="SAN RAMON"/>
    <x v="1"/>
    <x v="24"/>
    <x v="1"/>
  </r>
  <r>
    <d v="2026-05-27T00:00:00"/>
    <x v="0"/>
    <s v="CHUPACA"/>
    <s v="HUAMANCACA CHICO"/>
    <x v="1"/>
    <x v="24"/>
    <x v="1"/>
  </r>
  <r>
    <d v="2026-05-27T00:00:00"/>
    <x v="0"/>
    <s v="HUANCAYO"/>
    <s v="VIQUES"/>
    <x v="3"/>
    <x v="24"/>
    <x v="1"/>
  </r>
  <r>
    <d v="2026-05-27T00:00:00"/>
    <x v="0"/>
    <s v="HUANCAYO"/>
    <s v="CHILCA"/>
    <x v="4"/>
    <x v="24"/>
    <x v="1"/>
  </r>
  <r>
    <d v="2026-05-27T00:00:00"/>
    <x v="0"/>
    <s v="HUANCAYO"/>
    <s v="HUANCAN"/>
    <x v="0"/>
    <x v="24"/>
    <x v="1"/>
  </r>
  <r>
    <d v="2026-05-27T00:00:00"/>
    <x v="0"/>
    <s v="HUANCAYO"/>
    <s v="HUANCAYO"/>
    <x v="1"/>
    <x v="24"/>
    <x v="1"/>
  </r>
  <r>
    <d v="2026-05-27T00:00:00"/>
    <x v="0"/>
    <s v="CONCEPCION"/>
    <s v="SANTA ROSA DE OCOPA"/>
    <x v="1"/>
    <x v="24"/>
    <x v="1"/>
  </r>
  <r>
    <d v="2026-05-27T00:00:00"/>
    <x v="0"/>
    <s v="JAUJA"/>
    <s v="JAUJA"/>
    <x v="0"/>
    <x v="24"/>
    <x v="1"/>
  </r>
  <r>
    <d v="2026-05-27T00:00:00"/>
    <x v="0"/>
    <s v="CHUPACA"/>
    <s v="CHUPACA"/>
    <x v="0"/>
    <x v="24"/>
    <x v="1"/>
  </r>
  <r>
    <d v="2026-05-27T00:00:00"/>
    <x v="0"/>
    <s v="CHUPACA"/>
    <s v="CHUPACA"/>
    <x v="1"/>
    <x v="24"/>
    <x v="1"/>
  </r>
  <r>
    <d v="2026-05-27T00:00:00"/>
    <x v="0"/>
    <s v="HUANCAYO"/>
    <s v="HUALHUAS"/>
    <x v="1"/>
    <x v="24"/>
    <x v="1"/>
  </r>
  <r>
    <d v="2026-05-27T00:00:00"/>
    <x v="0"/>
    <s v="HUANCAYO"/>
    <s v="HUANCAYO"/>
    <x v="1"/>
    <x v="24"/>
    <x v="1"/>
  </r>
  <r>
    <d v="2026-05-27T00:00:00"/>
    <x v="0"/>
    <s v="JAUJA"/>
    <s v="PARCO"/>
    <x v="1"/>
    <x v="24"/>
    <x v="1"/>
  </r>
  <r>
    <d v="2026-05-27T00:00:00"/>
    <x v="0"/>
    <s v="HUANCAYO"/>
    <s v="HUANCAYO"/>
    <x v="0"/>
    <x v="24"/>
    <x v="1"/>
  </r>
  <r>
    <d v="2026-05-27T00:00:00"/>
    <x v="0"/>
    <s v="HUANCAYO"/>
    <s v="HUANCAN"/>
    <x v="1"/>
    <x v="24"/>
    <x v="1"/>
  </r>
  <r>
    <d v="2026-05-27T00:00:00"/>
    <x v="0"/>
    <s v="HUANCAYO"/>
    <s v="COLCA"/>
    <x v="1"/>
    <x v="24"/>
    <x v="1"/>
  </r>
  <r>
    <d v="2026-05-27T00:00:00"/>
    <x v="0"/>
    <s v="JAUJA"/>
    <s v="MASMA"/>
    <x v="0"/>
    <x v="24"/>
    <x v="1"/>
  </r>
  <r>
    <d v="2026-05-27T00:00:00"/>
    <x v="0"/>
    <s v="HUANCAYO"/>
    <s v="CHILCA"/>
    <x v="1"/>
    <x v="24"/>
    <x v="1"/>
  </r>
  <r>
    <d v="2026-05-27T00:00:00"/>
    <x v="0"/>
    <s v="HUANCAYO"/>
    <s v="HUANCAYO"/>
    <x v="1"/>
    <x v="24"/>
    <x v="1"/>
  </r>
  <r>
    <d v="2026-05-27T00:00:00"/>
    <x v="0"/>
    <s v="HUANCAYO"/>
    <s v="EL TAMBO"/>
    <x v="0"/>
    <x v="8"/>
    <x v="1"/>
  </r>
  <r>
    <d v="2026-05-27T00:00:00"/>
    <x v="0"/>
    <s v="CHUPACA"/>
    <s v="CHONGOS BAJO"/>
    <x v="0"/>
    <x v="8"/>
    <x v="1"/>
  </r>
  <r>
    <d v="2026-05-27T00:00:00"/>
    <x v="0"/>
    <s v="HUANCAYO"/>
    <s v="EL TAMBO"/>
    <x v="1"/>
    <x v="8"/>
    <x v="1"/>
  </r>
  <r>
    <d v="2026-05-27T00:00:00"/>
    <x v="0"/>
    <s v="HUANCAYO"/>
    <s v="PILCOMAYO"/>
    <x v="1"/>
    <x v="8"/>
    <x v="0"/>
  </r>
  <r>
    <d v="2026-05-27T00:00:00"/>
    <x v="0"/>
    <s v="CONCEPCION"/>
    <s v="SANTA ROSA DE OCOPA"/>
    <x v="1"/>
    <x v="8"/>
    <x v="1"/>
  </r>
  <r>
    <d v="2026-05-27T00:00:00"/>
    <x v="0"/>
    <s v="HUANCAYO"/>
    <s v="HUANCAYO"/>
    <x v="1"/>
    <x v="8"/>
    <x v="1"/>
  </r>
  <r>
    <d v="2026-05-27T00:00:00"/>
    <x v="0"/>
    <s v="HUANCAYO"/>
    <s v="CHILCA"/>
    <x v="0"/>
    <x v="8"/>
    <x v="1"/>
  </r>
  <r>
    <d v="2026-05-27T00:00:00"/>
    <x v="0"/>
    <s v="HUANCAYO"/>
    <s v="EL TAMBO"/>
    <x v="1"/>
    <x v="8"/>
    <x v="0"/>
  </r>
  <r>
    <d v="2026-05-27T00:00:00"/>
    <x v="0"/>
    <s v="CONCEPCION"/>
    <s v="MATAHUASI"/>
    <x v="1"/>
    <x v="8"/>
    <x v="1"/>
  </r>
  <r>
    <d v="2026-05-27T00:00:00"/>
    <x v="0"/>
    <s v="CHUPACA"/>
    <s v="CHONGOS BAJO"/>
    <x v="3"/>
    <x v="8"/>
    <x v="0"/>
  </r>
  <r>
    <d v="2026-05-27T00:00:00"/>
    <x v="0"/>
    <s v="HUANCAYO"/>
    <s v="EL TAMBO"/>
    <x v="1"/>
    <x v="8"/>
    <x v="0"/>
  </r>
  <r>
    <d v="2026-05-27T00:00:00"/>
    <x v="0"/>
    <s v="HUANCAYO"/>
    <s v="EL TAMBO"/>
    <x v="1"/>
    <x v="8"/>
    <x v="1"/>
  </r>
  <r>
    <d v="2026-05-27T00:00:00"/>
    <x v="0"/>
    <s v="HUANCAYO"/>
    <s v="EL TAMBO"/>
    <x v="0"/>
    <x v="8"/>
    <x v="1"/>
  </r>
  <r>
    <d v="2026-05-27T00:00:00"/>
    <x v="0"/>
    <s v="TARMA"/>
    <s v="TARMA"/>
    <x v="1"/>
    <x v="8"/>
    <x v="1"/>
  </r>
  <r>
    <d v="2026-05-27T00:00:00"/>
    <x v="0"/>
    <s v="TARMA"/>
    <s v="TARMA"/>
    <x v="1"/>
    <x v="8"/>
    <x v="0"/>
  </r>
  <r>
    <d v="2026-05-27T00:00:00"/>
    <x v="2"/>
    <s v="LIMA"/>
    <s v="SAN JUAN DE MIRAFLORES"/>
    <x v="1"/>
    <x v="8"/>
    <x v="1"/>
  </r>
  <r>
    <d v="2026-05-27T00:00:00"/>
    <x v="0"/>
    <s v="HUANCAYO"/>
    <s v="CHILCA"/>
    <x v="1"/>
    <x v="8"/>
    <x v="1"/>
  </r>
  <r>
    <d v="2026-05-27T00:00:00"/>
    <x v="0"/>
    <s v="HUANCAYO"/>
    <s v="SAN JERONIMO DE TUNAN"/>
    <x v="1"/>
    <x v="8"/>
    <x v="1"/>
  </r>
  <r>
    <d v="2026-05-27T00:00:00"/>
    <x v="0"/>
    <s v="HUANCAYO"/>
    <s v="INGENIO"/>
    <x v="1"/>
    <x v="8"/>
    <x v="0"/>
  </r>
  <r>
    <d v="2026-05-27T00:00:00"/>
    <x v="0"/>
    <s v="CHUPACA"/>
    <s v="HUACHAC"/>
    <x v="1"/>
    <x v="8"/>
    <x v="1"/>
  </r>
  <r>
    <d v="2026-05-27T00:00:00"/>
    <x v="0"/>
    <s v="CONCEPCION"/>
    <s v="ORCOTUNA"/>
    <x v="1"/>
    <x v="8"/>
    <x v="0"/>
  </r>
  <r>
    <d v="2026-05-27T00:00:00"/>
    <x v="0"/>
    <s v="HUANCAYO"/>
    <s v="EL TAMBO"/>
    <x v="1"/>
    <x v="8"/>
    <x v="1"/>
  </r>
  <r>
    <d v="2026-05-27T00:00:00"/>
    <x v="0"/>
    <s v="HUANCAYO"/>
    <s v="HUALHUAS"/>
    <x v="1"/>
    <x v="8"/>
    <x v="1"/>
  </r>
  <r>
    <d v="2026-05-27T00:00:00"/>
    <x v="0"/>
    <s v="HUANCAYO"/>
    <s v="HUANCAYO"/>
    <x v="0"/>
    <x v="8"/>
    <x v="0"/>
  </r>
  <r>
    <d v="2026-05-27T00:00:00"/>
    <x v="1"/>
    <s v="HUANCAVELICA"/>
    <s v="YAULI"/>
    <x v="1"/>
    <x v="8"/>
    <x v="1"/>
  </r>
  <r>
    <d v="2026-05-27T00:00:00"/>
    <x v="0"/>
    <s v="HUANCAYO"/>
    <s v="EL TAMBO"/>
    <x v="0"/>
    <x v="8"/>
    <x v="1"/>
  </r>
  <r>
    <d v="2026-05-27T00:00:00"/>
    <x v="0"/>
    <s v="HUANCAYO"/>
    <s v="SAN AGUSTIN"/>
    <x v="0"/>
    <x v="8"/>
    <x v="1"/>
  </r>
  <r>
    <d v="2026-05-27T00:00:00"/>
    <x v="0"/>
    <s v="JAUJA"/>
    <s v="JAUJA"/>
    <x v="1"/>
    <x v="8"/>
    <x v="0"/>
  </r>
  <r>
    <d v="2026-05-27T00:00:00"/>
    <x v="2"/>
    <s v="LIMA"/>
    <s v="SANTA ANITA"/>
    <x v="1"/>
    <x v="8"/>
    <x v="0"/>
  </r>
  <r>
    <d v="2026-05-27T00:00:00"/>
    <x v="1"/>
    <s v="TAYACAJA"/>
    <s v="SANTIAGO DE TUCUMA"/>
    <x v="1"/>
    <x v="8"/>
    <x v="1"/>
  </r>
  <r>
    <d v="2026-05-27T00:00:00"/>
    <x v="0"/>
    <s v="HUANCAYO"/>
    <s v="SICAYA"/>
    <x v="0"/>
    <x v="8"/>
    <x v="1"/>
  </r>
  <r>
    <d v="2026-05-27T00:00:00"/>
    <x v="0"/>
    <s v="HUANCAYO"/>
    <s v="CHILCA"/>
    <x v="0"/>
    <x v="8"/>
    <x v="0"/>
  </r>
  <r>
    <d v="2026-05-27T00:00:00"/>
    <x v="0"/>
    <s v="HUANCAYO"/>
    <s v="EL TAMBO"/>
    <x v="0"/>
    <x v="8"/>
    <x v="0"/>
  </r>
  <r>
    <d v="2026-05-27T00:00:00"/>
    <x v="0"/>
    <s v="HUANCAYO"/>
    <s v="HUANCAN"/>
    <x v="1"/>
    <x v="8"/>
    <x v="0"/>
  </r>
  <r>
    <d v="2026-05-27T00:00:00"/>
    <x v="0"/>
    <s v="TARMA"/>
    <s v="TARMA"/>
    <x v="1"/>
    <x v="8"/>
    <x v="0"/>
  </r>
  <r>
    <d v="2026-05-27T00:00:00"/>
    <x v="0"/>
    <s v="JAUJA"/>
    <s v="PANCAN"/>
    <x v="1"/>
    <x v="8"/>
    <x v="1"/>
  </r>
  <r>
    <d v="2026-05-27T00:00:00"/>
    <x v="0"/>
    <s v="CHUPACA"/>
    <s v="CHUPACA"/>
    <x v="1"/>
    <x v="8"/>
    <x v="1"/>
  </r>
  <r>
    <d v="2026-05-27T00:00:00"/>
    <x v="0"/>
    <s v="JAUJA"/>
    <s v="PARCO"/>
    <x v="1"/>
    <x v="8"/>
    <x v="0"/>
  </r>
  <r>
    <d v="2026-05-27T00:00:00"/>
    <x v="0"/>
    <s v="CHUPACA"/>
    <s v="CHUPACA"/>
    <x v="1"/>
    <x v="8"/>
    <x v="1"/>
  </r>
  <r>
    <d v="2026-05-27T00:00:00"/>
    <x v="1"/>
    <s v="HUANCAVELICA"/>
    <s v="YAULI"/>
    <x v="0"/>
    <x v="25"/>
    <x v="1"/>
  </r>
  <r>
    <d v="2026-05-27T00:00:00"/>
    <x v="0"/>
    <s v="HUANCAYO"/>
    <s v="CHILCA"/>
    <x v="1"/>
    <x v="25"/>
    <x v="0"/>
  </r>
  <r>
    <d v="2026-05-27T00:00:00"/>
    <x v="0"/>
    <s v="HUANCAYO"/>
    <s v="EL TAMBO"/>
    <x v="1"/>
    <x v="25"/>
    <x v="0"/>
  </r>
  <r>
    <d v="2026-05-27T00:00:00"/>
    <x v="0"/>
    <s v="HUANCAYO"/>
    <s v="EL TAMBO"/>
    <x v="1"/>
    <x v="25"/>
    <x v="0"/>
  </r>
  <r>
    <d v="2026-05-27T00:00:00"/>
    <x v="0"/>
    <s v="HUANCAYO"/>
    <s v="QUILCAS"/>
    <x v="1"/>
    <x v="25"/>
    <x v="1"/>
  </r>
  <r>
    <d v="2026-05-27T00:00:00"/>
    <x v="0"/>
    <s v="HUANCAYO"/>
    <s v="HUANCAYO"/>
    <x v="0"/>
    <x v="25"/>
    <x v="0"/>
  </r>
  <r>
    <d v="2026-05-27T00:00:00"/>
    <x v="0"/>
    <s v="HUANCAYO"/>
    <s v="SAN AGUSTIN"/>
    <x v="1"/>
    <x v="25"/>
    <x v="1"/>
  </r>
  <r>
    <d v="2026-05-27T00:00:00"/>
    <x v="0"/>
    <s v="HUANCAYO"/>
    <s v="SAN AGUSTIN"/>
    <x v="1"/>
    <x v="25"/>
    <x v="1"/>
  </r>
  <r>
    <d v="2026-05-27T00:00:00"/>
    <x v="0"/>
    <s v="JAUJA"/>
    <s v="SAN LORENZO"/>
    <x v="1"/>
    <x v="25"/>
    <x v="0"/>
  </r>
  <r>
    <d v="2026-05-27T00:00:00"/>
    <x v="0"/>
    <s v="HUANCAYO"/>
    <s v="CHILCA"/>
    <x v="1"/>
    <x v="25"/>
    <x v="0"/>
  </r>
  <r>
    <d v="2026-05-27T00:00:00"/>
    <x v="1"/>
    <s v="HUANCAVELICA"/>
    <s v="ASCENSION"/>
    <x v="1"/>
    <x v="25"/>
    <x v="1"/>
  </r>
  <r>
    <d v="2026-05-27T00:00:00"/>
    <x v="0"/>
    <s v="HUANCAYO"/>
    <s v="SAN JERONIMO DE TUNAN"/>
    <x v="0"/>
    <x v="25"/>
    <x v="0"/>
  </r>
  <r>
    <d v="2026-05-27T00:00:00"/>
    <x v="0"/>
    <s v="HUANCAYO"/>
    <s v="PILCOMAYO"/>
    <x v="0"/>
    <x v="25"/>
    <x v="0"/>
  </r>
  <r>
    <d v="2026-05-27T00:00:00"/>
    <x v="1"/>
    <s v="CHURCAMPA"/>
    <s v="ANCO"/>
    <x v="0"/>
    <x v="25"/>
    <x v="1"/>
  </r>
  <r>
    <d v="2026-05-27T00:00:00"/>
    <x v="0"/>
    <s v="HUANCAYO"/>
    <s v="EL TAMBO"/>
    <x v="1"/>
    <x v="25"/>
    <x v="0"/>
  </r>
  <r>
    <d v="2026-05-27T00:00:00"/>
    <x v="0"/>
    <s v="HUANCAYO"/>
    <s v="EL TAMBO"/>
    <x v="0"/>
    <x v="25"/>
    <x v="0"/>
  </r>
  <r>
    <d v="2026-05-27T00:00:00"/>
    <x v="0"/>
    <s v="HUANCAYO"/>
    <s v="HUANCAYO"/>
    <x v="1"/>
    <x v="25"/>
    <x v="1"/>
  </r>
  <r>
    <d v="2026-05-27T00:00:00"/>
    <x v="0"/>
    <s v="HUANCAYO"/>
    <s v="EL TAMBO"/>
    <x v="0"/>
    <x v="25"/>
    <x v="1"/>
  </r>
  <r>
    <d v="2026-05-27T00:00:00"/>
    <x v="0"/>
    <s v="HUANCAYO"/>
    <s v="EL TAMBO"/>
    <x v="1"/>
    <x v="25"/>
    <x v="0"/>
  </r>
  <r>
    <d v="2026-05-27T00:00:00"/>
    <x v="0"/>
    <s v="HUANCAYO"/>
    <s v="EL TAMBO"/>
    <x v="0"/>
    <x v="25"/>
    <x v="0"/>
  </r>
  <r>
    <d v="2026-05-27T00:00:00"/>
    <x v="0"/>
    <s v="HUANCAYO"/>
    <s v="EL TAMBO"/>
    <x v="1"/>
    <x v="25"/>
    <x v="0"/>
  </r>
  <r>
    <d v="2026-05-27T00:00:00"/>
    <x v="0"/>
    <s v="HUANCAYO"/>
    <s v="SICAYA"/>
    <x v="1"/>
    <x v="25"/>
    <x v="1"/>
  </r>
  <r>
    <d v="2026-05-27T00:00:00"/>
    <x v="0"/>
    <s v="HUANCAYO"/>
    <s v="SICAYA"/>
    <x v="1"/>
    <x v="25"/>
    <x v="1"/>
  </r>
  <r>
    <d v="2026-05-27T00:00:00"/>
    <x v="0"/>
    <s v="TARMA"/>
    <s v="TARMA"/>
    <x v="1"/>
    <x v="25"/>
    <x v="0"/>
  </r>
  <r>
    <d v="2026-05-27T00:00:00"/>
    <x v="0"/>
    <s v="HUANCAYO"/>
    <s v="EL TAMBO"/>
    <x v="0"/>
    <x v="25"/>
    <x v="1"/>
  </r>
  <r>
    <d v="2026-05-27T00:00:00"/>
    <x v="0"/>
    <s v="HUANCAYO"/>
    <s v="CHILCA"/>
    <x v="1"/>
    <x v="25"/>
    <x v="0"/>
  </r>
  <r>
    <d v="2026-05-27T00:00:00"/>
    <x v="0"/>
    <s v="JUNIN"/>
    <s v="JUNIN"/>
    <x v="1"/>
    <x v="25"/>
    <x v="1"/>
  </r>
  <r>
    <d v="2026-05-27T00:00:00"/>
    <x v="0"/>
    <s v="JAUJA"/>
    <s v="YAULI"/>
    <x v="0"/>
    <x v="25"/>
    <x v="0"/>
  </r>
  <r>
    <d v="2026-05-27T00:00:00"/>
    <x v="0"/>
    <s v="HUANCAYO"/>
    <s v="CHILCA"/>
    <x v="1"/>
    <x v="25"/>
    <x v="0"/>
  </r>
  <r>
    <d v="2026-05-27T00:00:00"/>
    <x v="0"/>
    <s v="HUANCAYO"/>
    <s v="HUANCAN"/>
    <x v="3"/>
    <x v="25"/>
    <x v="0"/>
  </r>
  <r>
    <d v="2026-05-27T00:00:00"/>
    <x v="0"/>
    <s v="HUANCAYO"/>
    <s v="HUANCAYO"/>
    <x v="1"/>
    <x v="25"/>
    <x v="1"/>
  </r>
  <r>
    <d v="2026-05-27T00:00:00"/>
    <x v="0"/>
    <s v="JAUJA"/>
    <s v="JAUJA"/>
    <x v="0"/>
    <x v="25"/>
    <x v="0"/>
  </r>
  <r>
    <d v="2026-05-27T00:00:00"/>
    <x v="0"/>
    <s v="HUANCAYO"/>
    <s v="EL TAMBO"/>
    <x v="1"/>
    <x v="25"/>
    <x v="0"/>
  </r>
  <r>
    <d v="2026-05-27T00:00:00"/>
    <x v="0"/>
    <s v="HUANCAYO"/>
    <s v="HUAYUCACHI"/>
    <x v="1"/>
    <x v="25"/>
    <x v="0"/>
  </r>
  <r>
    <d v="2026-05-27T00:00:00"/>
    <x v="0"/>
    <s v="HUANCAYO"/>
    <s v="EL TAMBO"/>
    <x v="1"/>
    <x v="25"/>
    <x v="0"/>
  </r>
  <r>
    <d v="2026-05-27T00:00:00"/>
    <x v="1"/>
    <s v="HUANCAVELICA"/>
    <s v="NUEVO OCCORO"/>
    <x v="0"/>
    <x v="26"/>
    <x v="0"/>
  </r>
  <r>
    <d v="2026-05-27T00:00:00"/>
    <x v="0"/>
    <s v="HUANCAYO"/>
    <s v="SAN JERONIMO DE TUNAN"/>
    <x v="1"/>
    <x v="26"/>
    <x v="0"/>
  </r>
  <r>
    <d v="2026-05-27T00:00:00"/>
    <x v="0"/>
    <s v="HUANCAYO"/>
    <s v="CHILCA"/>
    <x v="1"/>
    <x v="26"/>
    <x v="0"/>
  </r>
  <r>
    <d v="2026-05-27T00:00:00"/>
    <x v="0"/>
    <s v="HUANCAYO"/>
    <s v="EL TAMBO"/>
    <x v="1"/>
    <x v="26"/>
    <x v="0"/>
  </r>
  <r>
    <d v="2026-05-27T00:00:00"/>
    <x v="0"/>
    <s v="HUANCAYO"/>
    <s v="EL TAMBO"/>
    <x v="1"/>
    <x v="26"/>
    <x v="0"/>
  </r>
  <r>
    <d v="2026-05-27T00:00:00"/>
    <x v="1"/>
    <s v="CHURCAMPA"/>
    <s v="SAN PEDRO DE CORIS"/>
    <x v="1"/>
    <x v="26"/>
    <x v="0"/>
  </r>
  <r>
    <d v="2026-05-27T00:00:00"/>
    <x v="0"/>
    <s v="HUANCAYO"/>
    <s v="HUANCAN"/>
    <x v="1"/>
    <x v="26"/>
    <x v="1"/>
  </r>
  <r>
    <d v="2026-05-27T00:00:00"/>
    <x v="0"/>
    <s v="CHUPACA"/>
    <s v="SAN JUAN DE JARPA"/>
    <x v="0"/>
    <x v="26"/>
    <x v="1"/>
  </r>
  <r>
    <d v="2026-05-27T00:00:00"/>
    <x v="0"/>
    <s v="HUANCAYO"/>
    <s v="CHILCA"/>
    <x v="1"/>
    <x v="26"/>
    <x v="0"/>
  </r>
  <r>
    <d v="2026-05-27T00:00:00"/>
    <x v="0"/>
    <s v="HUANCAYO"/>
    <s v="EL TAMBO"/>
    <x v="0"/>
    <x v="26"/>
    <x v="1"/>
  </r>
  <r>
    <d v="2026-05-27T00:00:00"/>
    <x v="0"/>
    <s v="HUANCAYO"/>
    <s v="CHILCA"/>
    <x v="1"/>
    <x v="26"/>
    <x v="1"/>
  </r>
  <r>
    <d v="2026-05-27T00:00:00"/>
    <x v="0"/>
    <s v="HUANCAYO"/>
    <s v="HUANCAYO"/>
    <x v="1"/>
    <x v="26"/>
    <x v="1"/>
  </r>
  <r>
    <d v="2026-05-27T00:00:00"/>
    <x v="0"/>
    <s v="HUANCAYO"/>
    <s v="CHILCA"/>
    <x v="1"/>
    <x v="26"/>
    <x v="0"/>
  </r>
  <r>
    <d v="2026-05-27T00:00:00"/>
    <x v="0"/>
    <s v="HUANCAYO"/>
    <s v="SAPALLANGA"/>
    <x v="1"/>
    <x v="26"/>
    <x v="1"/>
  </r>
  <r>
    <d v="2026-05-27T00:00:00"/>
    <x v="2"/>
    <s v="LIMA"/>
    <s v="EL AGUSTINO"/>
    <x v="0"/>
    <x v="26"/>
    <x v="0"/>
  </r>
  <r>
    <d v="2026-05-27T00:00:00"/>
    <x v="0"/>
    <s v="HUANCAYO"/>
    <s v="EL TAMBO"/>
    <x v="1"/>
    <x v="26"/>
    <x v="1"/>
  </r>
  <r>
    <d v="2026-05-27T00:00:00"/>
    <x v="0"/>
    <s v="HUANCAYO"/>
    <s v="HUANCAYO"/>
    <x v="0"/>
    <x v="26"/>
    <x v="0"/>
  </r>
  <r>
    <d v="2026-05-27T00:00:00"/>
    <x v="0"/>
    <s v="CHANCHAMAYO"/>
    <s v="SAN RAMON"/>
    <x v="1"/>
    <x v="26"/>
    <x v="0"/>
  </r>
  <r>
    <d v="2026-05-27T00:00:00"/>
    <x v="0"/>
    <s v="HUANCAYO"/>
    <s v="CHILCA"/>
    <x v="1"/>
    <x v="26"/>
    <x v="1"/>
  </r>
  <r>
    <d v="2026-05-27T00:00:00"/>
    <x v="0"/>
    <s v="JAUJA"/>
    <s v="HUERTAS"/>
    <x v="1"/>
    <x v="26"/>
    <x v="1"/>
  </r>
  <r>
    <d v="2026-05-27T00:00:00"/>
    <x v="0"/>
    <s v="CONCEPCION"/>
    <s v="MANZANARES"/>
    <x v="3"/>
    <x v="26"/>
    <x v="1"/>
  </r>
  <r>
    <d v="2026-05-27T00:00:00"/>
    <x v="0"/>
    <s v="HUANCAYO"/>
    <s v="QUILCAS"/>
    <x v="1"/>
    <x v="26"/>
    <x v="0"/>
  </r>
  <r>
    <d v="2026-05-27T00:00:00"/>
    <x v="0"/>
    <s v="HUANCAYO"/>
    <s v="EL TAMBO"/>
    <x v="1"/>
    <x v="26"/>
    <x v="0"/>
  </r>
  <r>
    <d v="2026-05-27T00:00:00"/>
    <x v="0"/>
    <s v="HUANCAYO"/>
    <s v="CHILCA"/>
    <x v="1"/>
    <x v="26"/>
    <x v="0"/>
  </r>
  <r>
    <d v="2026-05-27T00:00:00"/>
    <x v="0"/>
    <s v="HUANCAYO"/>
    <s v="CHILCA"/>
    <x v="0"/>
    <x v="26"/>
    <x v="0"/>
  </r>
  <r>
    <d v="2026-05-27T00:00:00"/>
    <x v="0"/>
    <s v="HUANCAYO"/>
    <s v="HUANCAYO"/>
    <x v="0"/>
    <x v="26"/>
    <x v="0"/>
  </r>
  <r>
    <d v="2026-05-27T00:00:00"/>
    <x v="0"/>
    <s v="HUANCAYO"/>
    <s v="EL TAMBO"/>
    <x v="1"/>
    <x v="26"/>
    <x v="0"/>
  </r>
  <r>
    <d v="2026-05-27T00:00:00"/>
    <x v="1"/>
    <s v="ANGARAES"/>
    <s v="CCOCHACCASA"/>
    <x v="1"/>
    <x v="26"/>
    <x v="1"/>
  </r>
  <r>
    <d v="2026-05-27T00:00:00"/>
    <x v="0"/>
    <s v="CONCEPCION"/>
    <s v="COMAS"/>
    <x v="3"/>
    <x v="26"/>
    <x v="1"/>
  </r>
  <r>
    <d v="2026-05-27T00:00:00"/>
    <x v="0"/>
    <s v="JAUJA"/>
    <s v="PARCO"/>
    <x v="0"/>
    <x v="26"/>
    <x v="0"/>
  </r>
  <r>
    <d v="2026-05-27T00:00:00"/>
    <x v="0"/>
    <s v="HUANCAYO"/>
    <s v="EL TAMBO"/>
    <x v="1"/>
    <x v="26"/>
    <x v="0"/>
  </r>
  <r>
    <d v="2026-05-27T00:00:00"/>
    <x v="0"/>
    <s v="HUANCAYO"/>
    <s v="SAN AGUSTIN"/>
    <x v="1"/>
    <x v="26"/>
    <x v="1"/>
  </r>
  <r>
    <d v="2026-05-27T00:00:00"/>
    <x v="0"/>
    <s v="HUANCAYO"/>
    <s v="EL TAMBO"/>
    <x v="1"/>
    <x v="26"/>
    <x v="1"/>
  </r>
  <r>
    <d v="2026-05-27T00:00:00"/>
    <x v="0"/>
    <s v="CONCEPCION"/>
    <s v="CONCEPCION"/>
    <x v="1"/>
    <x v="26"/>
    <x v="1"/>
  </r>
  <r>
    <d v="2026-05-27T00:00:00"/>
    <x v="0"/>
    <s v="HUANCAYO"/>
    <s v="HUANCAN"/>
    <x v="1"/>
    <x v="27"/>
    <x v="0"/>
  </r>
  <r>
    <d v="2026-05-27T00:00:00"/>
    <x v="0"/>
    <s v="HUANCAYO"/>
    <s v="HUANCAN"/>
    <x v="9"/>
    <x v="27"/>
    <x v="0"/>
  </r>
  <r>
    <d v="2026-05-27T00:00:00"/>
    <x v="0"/>
    <s v="HUANCAYO"/>
    <s v="CHILCA"/>
    <x v="0"/>
    <x v="27"/>
    <x v="0"/>
  </r>
  <r>
    <d v="2026-05-27T00:00:00"/>
    <x v="0"/>
    <s v="HUANCAYO"/>
    <s v="HUANCAYO"/>
    <x v="1"/>
    <x v="27"/>
    <x v="1"/>
  </r>
  <r>
    <d v="2026-05-27T00:00:00"/>
    <x v="4"/>
    <s v="DANIEL ALCIDES CARRION"/>
    <s v="YANAHUANCA"/>
    <x v="0"/>
    <x v="27"/>
    <x v="0"/>
  </r>
  <r>
    <d v="2026-05-27T00:00:00"/>
    <x v="0"/>
    <s v="HUANCAYO"/>
    <s v="HUANCAYO"/>
    <x v="1"/>
    <x v="27"/>
    <x v="0"/>
  </r>
  <r>
    <d v="2026-05-27T00:00:00"/>
    <x v="0"/>
    <s v="HUANCAYO"/>
    <s v="CHILCA"/>
    <x v="4"/>
    <x v="27"/>
    <x v="0"/>
  </r>
  <r>
    <d v="2026-05-27T00:00:00"/>
    <x v="0"/>
    <s v="HUANCAYO"/>
    <s v="HUANCAYO"/>
    <x v="1"/>
    <x v="27"/>
    <x v="0"/>
  </r>
  <r>
    <d v="2026-05-27T00:00:00"/>
    <x v="0"/>
    <s v="HUANCAYO"/>
    <s v="CHILCA"/>
    <x v="1"/>
    <x v="27"/>
    <x v="0"/>
  </r>
  <r>
    <d v="2026-05-27T00:00:00"/>
    <x v="0"/>
    <s v="HUANCAYO"/>
    <s v="HUANCAYO"/>
    <x v="1"/>
    <x v="27"/>
    <x v="1"/>
  </r>
  <r>
    <d v="2026-05-27T00:00:00"/>
    <x v="0"/>
    <s v="HUANCAYO"/>
    <s v="SAN AGUSTIN"/>
    <x v="1"/>
    <x v="27"/>
    <x v="0"/>
  </r>
  <r>
    <d v="2026-05-27T00:00:00"/>
    <x v="0"/>
    <s v="JAUJA"/>
    <s v="YAUYOS"/>
    <x v="1"/>
    <x v="27"/>
    <x v="1"/>
  </r>
  <r>
    <d v="2026-05-27T00:00:00"/>
    <x v="0"/>
    <s v="HUANCAYO"/>
    <s v="EL TAMBO"/>
    <x v="1"/>
    <x v="27"/>
    <x v="0"/>
  </r>
  <r>
    <d v="2026-05-27T00:00:00"/>
    <x v="0"/>
    <s v="CONCEPCION"/>
    <s v="CONCEPCION"/>
    <x v="0"/>
    <x v="27"/>
    <x v="1"/>
  </r>
  <r>
    <d v="2026-05-27T00:00:00"/>
    <x v="0"/>
    <s v="HUANCAYO"/>
    <s v="HUANCAYO"/>
    <x v="1"/>
    <x v="27"/>
    <x v="0"/>
  </r>
  <r>
    <d v="2026-05-27T00:00:00"/>
    <x v="0"/>
    <s v="HUANCAYO"/>
    <s v="HUANCAYO"/>
    <x v="1"/>
    <x v="27"/>
    <x v="1"/>
  </r>
  <r>
    <d v="2026-05-27T00:00:00"/>
    <x v="0"/>
    <s v="CHUPACA"/>
    <s v="HUACHAC"/>
    <x v="1"/>
    <x v="27"/>
    <x v="0"/>
  </r>
  <r>
    <d v="2026-05-27T00:00:00"/>
    <x v="0"/>
    <s v="HUANCAYO"/>
    <s v="EL TAMBO"/>
    <x v="1"/>
    <x v="27"/>
    <x v="0"/>
  </r>
  <r>
    <d v="2026-05-27T00:00:00"/>
    <x v="0"/>
    <s v="HUANCAYO"/>
    <s v="EL TAMBO"/>
    <x v="1"/>
    <x v="28"/>
    <x v="1"/>
  </r>
  <r>
    <d v="2026-05-27T00:00:00"/>
    <x v="0"/>
    <s v="HUANCAYO"/>
    <s v="CHILCA"/>
    <x v="0"/>
    <x v="28"/>
    <x v="1"/>
  </r>
  <r>
    <d v="2026-05-27T00:00:00"/>
    <x v="0"/>
    <s v="HUANCAYO"/>
    <s v="HUANCAN"/>
    <x v="0"/>
    <x v="28"/>
    <x v="0"/>
  </r>
  <r>
    <d v="2026-05-27T00:00:00"/>
    <x v="0"/>
    <s v="TARMA"/>
    <s v="TARMA"/>
    <x v="1"/>
    <x v="28"/>
    <x v="1"/>
  </r>
  <r>
    <d v="2026-05-27T00:00:00"/>
    <x v="0"/>
    <s v="SATIPO"/>
    <s v="RIO NEGRO"/>
    <x v="1"/>
    <x v="28"/>
    <x v="0"/>
  </r>
  <r>
    <d v="2026-05-27T00:00:00"/>
    <x v="0"/>
    <s v="HUANCAYO"/>
    <s v="HUANCAYO"/>
    <x v="1"/>
    <x v="28"/>
    <x v="0"/>
  </r>
  <r>
    <d v="2026-05-27T00:00:00"/>
    <x v="1"/>
    <s v="TAYACAJA"/>
    <s v="PAZOS"/>
    <x v="1"/>
    <x v="28"/>
    <x v="0"/>
  </r>
  <r>
    <d v="2026-05-27T00:00:00"/>
    <x v="0"/>
    <s v="HUANCAYO"/>
    <s v="HUANCAYO"/>
    <x v="1"/>
    <x v="28"/>
    <x v="1"/>
  </r>
  <r>
    <d v="2026-05-27T00:00:00"/>
    <x v="0"/>
    <s v="HUANCAYO"/>
    <s v="EL TAMBO"/>
    <x v="1"/>
    <x v="28"/>
    <x v="0"/>
  </r>
  <r>
    <d v="2026-05-27T00:00:00"/>
    <x v="0"/>
    <s v="HUANCAYO"/>
    <s v="EL TAMBO"/>
    <x v="1"/>
    <x v="28"/>
    <x v="0"/>
  </r>
  <r>
    <d v="2026-05-27T00:00:00"/>
    <x v="0"/>
    <s v="JAUJA"/>
    <s v="YAUYOS"/>
    <x v="1"/>
    <x v="28"/>
    <x v="1"/>
  </r>
  <r>
    <d v="2026-05-27T00:00:00"/>
    <x v="0"/>
    <s v="HUANCAYO"/>
    <s v="EL TAMBO"/>
    <x v="1"/>
    <x v="28"/>
    <x v="0"/>
  </r>
  <r>
    <d v="2026-05-27T00:00:00"/>
    <x v="0"/>
    <s v="HUANCAYO"/>
    <s v="PILCOMAYO"/>
    <x v="1"/>
    <x v="28"/>
    <x v="0"/>
  </r>
  <r>
    <d v="2026-05-27T00:00:00"/>
    <x v="4"/>
    <s v="PASCO"/>
    <s v="YANACANCHA"/>
    <x v="1"/>
    <x v="28"/>
    <x v="0"/>
  </r>
  <r>
    <d v="2026-05-27T00:00:00"/>
    <x v="0"/>
    <s v="HUANCAYO"/>
    <s v="PILCOMAYO"/>
    <x v="0"/>
    <x v="28"/>
    <x v="1"/>
  </r>
  <r>
    <d v="2026-05-27T00:00:00"/>
    <x v="0"/>
    <s v="HUANCAYO"/>
    <s v="HUAYUCACHI"/>
    <x v="1"/>
    <x v="28"/>
    <x v="0"/>
  </r>
  <r>
    <d v="2026-05-27T00:00:00"/>
    <x v="0"/>
    <s v="TARMA"/>
    <s v="TARMA"/>
    <x v="0"/>
    <x v="28"/>
    <x v="0"/>
  </r>
  <r>
    <d v="2026-05-27T00:00:00"/>
    <x v="0"/>
    <s v="HUANCAYO"/>
    <s v="HUANCAYO"/>
    <x v="1"/>
    <x v="28"/>
    <x v="0"/>
  </r>
  <r>
    <d v="2026-05-27T00:00:00"/>
    <x v="0"/>
    <s v="HUANCAYO"/>
    <s v="CHILCA"/>
    <x v="1"/>
    <x v="28"/>
    <x v="0"/>
  </r>
  <r>
    <d v="2026-05-27T00:00:00"/>
    <x v="0"/>
    <s v="HUANCAYO"/>
    <s v="EL TAMBO"/>
    <x v="1"/>
    <x v="28"/>
    <x v="0"/>
  </r>
  <r>
    <d v="2026-05-27T00:00:00"/>
    <x v="0"/>
    <s v="HUANCAYO"/>
    <s v="CHILCA"/>
    <x v="0"/>
    <x v="28"/>
    <x v="0"/>
  </r>
  <r>
    <d v="2026-05-27T00:00:00"/>
    <x v="0"/>
    <s v="YAULI"/>
    <s v="SUITUCANCHA"/>
    <x v="1"/>
    <x v="28"/>
    <x v="0"/>
  </r>
  <r>
    <d v="2026-05-27T00:00:00"/>
    <x v="0"/>
    <s v="HUANCAYO"/>
    <s v="HUANCAN"/>
    <x v="1"/>
    <x v="29"/>
    <x v="0"/>
  </r>
  <r>
    <d v="2026-05-27T00:00:00"/>
    <x v="0"/>
    <s v="HUANCAYO"/>
    <s v="HUANCAYO"/>
    <x v="1"/>
    <x v="29"/>
    <x v="0"/>
  </r>
  <r>
    <d v="2026-05-27T00:00:00"/>
    <x v="0"/>
    <s v="HUANCAYO"/>
    <s v="HUANCAYO"/>
    <x v="1"/>
    <x v="29"/>
    <x v="0"/>
  </r>
  <r>
    <d v="2026-05-27T00:00:00"/>
    <x v="0"/>
    <s v="JAUJA"/>
    <s v="YAUYOS"/>
    <x v="0"/>
    <x v="29"/>
    <x v="0"/>
  </r>
  <r>
    <d v="2026-05-27T00:00:00"/>
    <x v="0"/>
    <s v="CONCEPCION"/>
    <s v="CONCEPCION"/>
    <x v="0"/>
    <x v="29"/>
    <x v="0"/>
  </r>
  <r>
    <d v="2026-05-27T00:00:00"/>
    <x v="0"/>
    <s v="HUANCAYO"/>
    <s v="EL TAMBO"/>
    <x v="1"/>
    <x v="29"/>
    <x v="0"/>
  </r>
  <r>
    <d v="2026-05-27T00:00:00"/>
    <x v="0"/>
    <s v="HUANCAYO"/>
    <s v="EL TAMBO"/>
    <x v="1"/>
    <x v="29"/>
    <x v="0"/>
  </r>
  <r>
    <d v="2026-05-27T00:00:00"/>
    <x v="0"/>
    <s v="HUANCAYO"/>
    <s v="EL TAMBO"/>
    <x v="1"/>
    <x v="29"/>
    <x v="0"/>
  </r>
  <r>
    <d v="2026-05-27T00:00:00"/>
    <x v="0"/>
    <s v="HUANCAYO"/>
    <s v="PILCOMAYO"/>
    <x v="1"/>
    <x v="29"/>
    <x v="0"/>
  </r>
  <r>
    <d v="2026-05-27T00:00:00"/>
    <x v="1"/>
    <s v="CHURCAMPA"/>
    <s v="SAN PEDRO DE CORIS"/>
    <x v="1"/>
    <x v="29"/>
    <x v="0"/>
  </r>
  <r>
    <d v="2026-05-27T00:00:00"/>
    <x v="0"/>
    <s v="HUANCAYO"/>
    <s v="HUANCAYO"/>
    <x v="0"/>
    <x v="29"/>
    <x v="0"/>
  </r>
  <r>
    <d v="2026-05-27T00:00:00"/>
    <x v="0"/>
    <s v="HUANCAYO"/>
    <s v="HUANCAYO"/>
    <x v="1"/>
    <x v="29"/>
    <x v="0"/>
  </r>
  <r>
    <d v="2026-05-27T00:00:00"/>
    <x v="0"/>
    <s v="HUANCAYO"/>
    <s v="CHILCA"/>
    <x v="1"/>
    <x v="29"/>
    <x v="0"/>
  </r>
  <r>
    <d v="2026-05-27T00:00:00"/>
    <x v="0"/>
    <s v="HUANCAYO"/>
    <s v="HUAYUCACHI"/>
    <x v="0"/>
    <x v="29"/>
    <x v="0"/>
  </r>
  <r>
    <d v="2026-05-27T00:00:00"/>
    <x v="0"/>
    <s v="HUANCAYO"/>
    <s v="EL TAMBO"/>
    <x v="0"/>
    <x v="29"/>
    <x v="0"/>
  </r>
  <r>
    <d v="2026-05-27T00:00:00"/>
    <x v="0"/>
    <s v="HUANCAYO"/>
    <s v="SAN JERONIMO DE TUNAN"/>
    <x v="1"/>
    <x v="29"/>
    <x v="0"/>
  </r>
  <r>
    <d v="2026-05-27T00:00:00"/>
    <x v="0"/>
    <s v="HUANCAYO"/>
    <s v="CHILCA"/>
    <x v="1"/>
    <x v="29"/>
    <x v="0"/>
  </r>
  <r>
    <d v="2026-05-27T00:00:00"/>
    <x v="0"/>
    <s v="HUANCAYO"/>
    <s v="EL TAMBO"/>
    <x v="1"/>
    <x v="29"/>
    <x v="0"/>
  </r>
  <r>
    <d v="2026-05-27T00:00:00"/>
    <x v="0"/>
    <s v="HUANCAYO"/>
    <s v="SAPALLANGA"/>
    <x v="1"/>
    <x v="29"/>
    <x v="0"/>
  </r>
  <r>
    <d v="2026-05-27T00:00:00"/>
    <x v="0"/>
    <s v="HUANCAYO"/>
    <s v="SICAYA"/>
    <x v="0"/>
    <x v="29"/>
    <x v="0"/>
  </r>
  <r>
    <d v="2026-05-27T00:00:00"/>
    <x v="0"/>
    <s v="CONCEPCION"/>
    <s v="COMAS"/>
    <x v="1"/>
    <x v="29"/>
    <x v="0"/>
  </r>
  <r>
    <d v="2026-05-27T00:00:00"/>
    <x v="0"/>
    <s v="HUANCAYO"/>
    <s v="PUCARA"/>
    <x v="0"/>
    <x v="29"/>
    <x v="0"/>
  </r>
  <r>
    <d v="2026-05-27T00:00:00"/>
    <x v="0"/>
    <s v="HUANCAYO"/>
    <s v="EL TAMBO"/>
    <x v="0"/>
    <x v="29"/>
    <x v="0"/>
  </r>
  <r>
    <d v="2026-05-27T00:00:00"/>
    <x v="0"/>
    <s v="YAULI"/>
    <s v="LA OROYA"/>
    <x v="0"/>
    <x v="29"/>
    <x v="0"/>
  </r>
  <r>
    <d v="2026-05-27T00:00:00"/>
    <x v="0"/>
    <s v="HUANCAYO"/>
    <s v="EL TAMBO"/>
    <x v="0"/>
    <x v="29"/>
    <x v="0"/>
  </r>
  <r>
    <d v="2026-05-27T00:00:00"/>
    <x v="0"/>
    <s v="HUANCAYO"/>
    <s v="SAN JERONIMO DE TUNAN"/>
    <x v="1"/>
    <x v="29"/>
    <x v="0"/>
  </r>
  <r>
    <d v="2026-05-27T00:00:00"/>
    <x v="0"/>
    <s v="HUANCAYO"/>
    <s v="EL TAMBO"/>
    <x v="1"/>
    <x v="29"/>
    <x v="0"/>
  </r>
  <r>
    <d v="2026-05-27T00:00:00"/>
    <x v="0"/>
    <s v="JAUJA"/>
    <s v="YAUYOS"/>
    <x v="1"/>
    <x v="29"/>
    <x v="0"/>
  </r>
  <r>
    <d v="2026-05-27T00:00:00"/>
    <x v="0"/>
    <s v="JAUJA"/>
    <s v="JAUJA"/>
    <x v="1"/>
    <x v="29"/>
    <x v="0"/>
  </r>
  <r>
    <d v="2026-05-27T00:00:00"/>
    <x v="0"/>
    <s v="HUANCAYO"/>
    <s v="EL TAMBO"/>
    <x v="1"/>
    <x v="29"/>
    <x v="0"/>
  </r>
  <r>
    <d v="2026-05-27T00:00:00"/>
    <x v="0"/>
    <s v="HUANCAYO"/>
    <s v="CHILCA"/>
    <x v="1"/>
    <x v="29"/>
    <x v="0"/>
  </r>
  <r>
    <d v="2026-05-27T00:00:00"/>
    <x v="0"/>
    <s v="HUANCAYO"/>
    <s v="CHILCA"/>
    <x v="1"/>
    <x v="29"/>
    <x v="0"/>
  </r>
  <r>
    <d v="2026-05-27T00:00:00"/>
    <x v="0"/>
    <s v="CHUPACA"/>
    <s v="CHUPACA"/>
    <x v="1"/>
    <x v="29"/>
    <x v="0"/>
  </r>
  <r>
    <d v="2026-05-27T00:00:00"/>
    <x v="0"/>
    <s v="TARMA"/>
    <s v="SAN PEDRO DE CAJAS"/>
    <x v="0"/>
    <x v="29"/>
    <x v="0"/>
  </r>
  <r>
    <d v="2026-05-27T00:00:00"/>
    <x v="0"/>
    <s v="HUANCAYO"/>
    <s v="EL TAMBO"/>
    <x v="0"/>
    <x v="29"/>
    <x v="0"/>
  </r>
  <r>
    <d v="2026-05-27T00:00:00"/>
    <x v="0"/>
    <s v="HUANCAYO"/>
    <s v="EL TAMBO"/>
    <x v="1"/>
    <x v="29"/>
    <x v="0"/>
  </r>
  <r>
    <d v="2026-05-27T00:00:00"/>
    <x v="0"/>
    <s v="HUANCAYO"/>
    <s v="HUANCAN"/>
    <x v="1"/>
    <x v="30"/>
    <x v="0"/>
  </r>
  <r>
    <d v="2026-05-27T00:00:00"/>
    <x v="0"/>
    <s v="HUANCAYO"/>
    <s v="EL TAMBO"/>
    <x v="1"/>
    <x v="30"/>
    <x v="1"/>
  </r>
  <r>
    <d v="2026-05-27T00:00:00"/>
    <x v="0"/>
    <s v="HUANCAYO"/>
    <s v="HUANCAYO"/>
    <x v="0"/>
    <x v="30"/>
    <x v="1"/>
  </r>
  <r>
    <d v="2026-05-27T00:00:00"/>
    <x v="0"/>
    <s v="CHUPACA"/>
    <s v="CHUPACA"/>
    <x v="1"/>
    <x v="30"/>
    <x v="0"/>
  </r>
  <r>
    <d v="2026-05-27T00:00:00"/>
    <x v="0"/>
    <s v="HUANCAYO"/>
    <s v="SAN JERONIMO DE TUNAN"/>
    <x v="0"/>
    <x v="30"/>
    <x v="1"/>
  </r>
  <r>
    <d v="2026-05-27T00:00:00"/>
    <x v="2"/>
    <s v="LIMA"/>
    <s v="CIENEGUILLA"/>
    <x v="0"/>
    <x v="30"/>
    <x v="1"/>
  </r>
  <r>
    <d v="2026-05-27T00:00:00"/>
    <x v="0"/>
    <s v="JUNIN"/>
    <s v="JUNIN"/>
    <x v="1"/>
    <x v="30"/>
    <x v="1"/>
  </r>
  <r>
    <d v="2026-05-27T00:00:00"/>
    <x v="0"/>
    <s v="HUANCAYO"/>
    <s v="HUANCAYO"/>
    <x v="0"/>
    <x v="30"/>
    <x v="0"/>
  </r>
  <r>
    <d v="2026-05-27T00:00:00"/>
    <x v="0"/>
    <s v="HUANCAYO"/>
    <s v="EL TAMBO"/>
    <x v="1"/>
    <x v="30"/>
    <x v="0"/>
  </r>
  <r>
    <d v="2026-05-27T00:00:00"/>
    <x v="0"/>
    <s v="HUANCAYO"/>
    <s v="EL TAMBO"/>
    <x v="1"/>
    <x v="30"/>
    <x v="1"/>
  </r>
  <r>
    <d v="2026-05-27T00:00:00"/>
    <x v="0"/>
    <s v="JAUJA"/>
    <s v="MOLINOS"/>
    <x v="1"/>
    <x v="30"/>
    <x v="1"/>
  </r>
  <r>
    <d v="2026-05-27T00:00:00"/>
    <x v="0"/>
    <s v="HUANCAYO"/>
    <s v="EL TAMBO"/>
    <x v="1"/>
    <x v="30"/>
    <x v="1"/>
  </r>
  <r>
    <d v="2026-05-27T00:00:00"/>
    <x v="0"/>
    <s v="HUANCAYO"/>
    <s v="EL TAMBO"/>
    <x v="1"/>
    <x v="30"/>
    <x v="1"/>
  </r>
  <r>
    <d v="2026-05-27T00:00:00"/>
    <x v="0"/>
    <s v="HUANCAYO"/>
    <s v="SAN JERONIMO DE TUNAN"/>
    <x v="1"/>
    <x v="30"/>
    <x v="1"/>
  </r>
  <r>
    <d v="2026-05-27T00:00:00"/>
    <x v="0"/>
    <s v="SATIPO"/>
    <s v="SATIPO"/>
    <x v="0"/>
    <x v="31"/>
    <x v="1"/>
  </r>
  <r>
    <d v="2026-05-27T00:00:00"/>
    <x v="0"/>
    <s v="SATIPO"/>
    <s v="SATIPO"/>
    <x v="1"/>
    <x v="31"/>
    <x v="1"/>
  </r>
  <r>
    <d v="2026-05-27T00:00:00"/>
    <x v="0"/>
    <s v="HUANCAYO"/>
    <s v="CHILCA"/>
    <x v="0"/>
    <x v="16"/>
    <x v="0"/>
  </r>
  <r>
    <d v="2026-05-27T00:00:00"/>
    <x v="0"/>
    <s v="HUANCAYO"/>
    <s v="CARHUACALLANGA"/>
    <x v="1"/>
    <x v="12"/>
    <x v="0"/>
  </r>
  <r>
    <d v="2026-05-27T00:00:00"/>
    <x v="0"/>
    <s v="HUANCAYO"/>
    <s v="HUANCAN"/>
    <x v="1"/>
    <x v="29"/>
    <x v="0"/>
  </r>
  <r>
    <d v="2026-05-27T00:00:00"/>
    <x v="0"/>
    <s v="JAUJA"/>
    <s v="JAUJA"/>
    <x v="1"/>
    <x v="16"/>
    <x v="0"/>
  </r>
  <r>
    <d v="2026-05-27T00:00:00"/>
    <x v="0"/>
    <s v="HUANCAYO"/>
    <s v="HUALHUAS"/>
    <x v="1"/>
    <x v="16"/>
    <x v="0"/>
  </r>
  <r>
    <d v="2026-05-27T00:00:00"/>
    <x v="0"/>
    <s v="HUANCAYO"/>
    <s v="EL TAMBO"/>
    <x v="1"/>
    <x v="16"/>
    <x v="1"/>
  </r>
  <r>
    <d v="2026-05-27T00:00:00"/>
    <x v="0"/>
    <s v="SATIPO"/>
    <s v="MAZAMARI"/>
    <x v="1"/>
    <x v="16"/>
    <x v="0"/>
  </r>
  <r>
    <d v="2026-05-27T00:00:00"/>
    <x v="0"/>
    <s v="HUANCAYO"/>
    <s v="HUANCAYO"/>
    <x v="1"/>
    <x v="16"/>
    <x v="1"/>
  </r>
  <r>
    <d v="2026-05-27T00:00:00"/>
    <x v="0"/>
    <s v="HUANCAYO"/>
    <s v="HUANCAYO"/>
    <x v="0"/>
    <x v="16"/>
    <x v="1"/>
  </r>
  <r>
    <d v="2026-05-27T00:00:00"/>
    <x v="0"/>
    <s v="HUANCAYO"/>
    <s v="HUANCAYO"/>
    <x v="1"/>
    <x v="16"/>
    <x v="1"/>
  </r>
  <r>
    <d v="2026-05-27T00:00:00"/>
    <x v="0"/>
    <s v="HUANCAYO"/>
    <s v="HUAYUCACHI"/>
    <x v="0"/>
    <x v="16"/>
    <x v="1"/>
  </r>
  <r>
    <d v="2026-05-27T00:00:00"/>
    <x v="2"/>
    <s v="LIMA"/>
    <s v="LIMA"/>
    <x v="1"/>
    <x v="16"/>
    <x v="1"/>
  </r>
  <r>
    <d v="2026-05-27T00:00:00"/>
    <x v="0"/>
    <s v="HUANCAYO"/>
    <s v="EL TAMBO"/>
    <x v="1"/>
    <x v="16"/>
    <x v="0"/>
  </r>
  <r>
    <d v="2026-05-27T00:00:00"/>
    <x v="0"/>
    <s v="HUANCAYO"/>
    <s v="HUANCAYO"/>
    <x v="7"/>
    <x v="16"/>
    <x v="1"/>
  </r>
  <r>
    <d v="2026-05-27T00:00:00"/>
    <x v="0"/>
    <s v="HUANCAYO"/>
    <s v="EL TAMBO"/>
    <x v="1"/>
    <x v="16"/>
    <x v="1"/>
  </r>
  <r>
    <d v="2026-05-27T00:00:00"/>
    <x v="1"/>
    <s v="ANGARAES"/>
    <s v="LIRCAY"/>
    <x v="1"/>
    <x v="16"/>
    <x v="1"/>
  </r>
  <r>
    <d v="2026-05-27T00:00:00"/>
    <x v="0"/>
    <s v="YAULI"/>
    <s v="LA OROYA"/>
    <x v="0"/>
    <x v="16"/>
    <x v="1"/>
  </r>
  <r>
    <d v="2026-05-27T00:00:00"/>
    <x v="0"/>
    <s v="HUANCAYO"/>
    <s v="PILCOMAYO"/>
    <x v="1"/>
    <x v="16"/>
    <x v="0"/>
  </r>
  <r>
    <d v="2026-05-27T00:00:00"/>
    <x v="0"/>
    <s v="HUANCAYO"/>
    <s v="CHILCA"/>
    <x v="1"/>
    <x v="16"/>
    <x v="0"/>
  </r>
  <r>
    <d v="2026-05-27T00:00:00"/>
    <x v="0"/>
    <s v="JAUJA"/>
    <s v="YAUYOS"/>
    <x v="1"/>
    <x v="16"/>
    <x v="0"/>
  </r>
  <r>
    <d v="2026-05-27T00:00:00"/>
    <x v="2"/>
    <s v="HUAROCHIRI"/>
    <s v="CHICLA"/>
    <x v="0"/>
    <x v="16"/>
    <x v="0"/>
  </r>
  <r>
    <d v="2026-05-27T00:00:00"/>
    <x v="0"/>
    <s v="CONCEPCION"/>
    <s v="CONCEPCION"/>
    <x v="1"/>
    <x v="16"/>
    <x v="1"/>
  </r>
  <r>
    <d v="2026-05-27T00:00:00"/>
    <x v="0"/>
    <s v="JUNIN"/>
    <s v="CARHUAMAYO"/>
    <x v="0"/>
    <x v="16"/>
    <x v="1"/>
  </r>
  <r>
    <d v="2026-05-27T00:00:00"/>
    <x v="0"/>
    <s v="CHUPACA"/>
    <s v="HUAMANCACA CHICO"/>
    <x v="0"/>
    <x v="16"/>
    <x v="1"/>
  </r>
  <r>
    <d v="2026-05-27T00:00:00"/>
    <x v="0"/>
    <s v="HUANCAYO"/>
    <s v="HUANCAN"/>
    <x v="1"/>
    <x v="16"/>
    <x v="1"/>
  </r>
  <r>
    <d v="2026-05-27T00:00:00"/>
    <x v="0"/>
    <s v="HUANCAYO"/>
    <s v="EL TAMBO"/>
    <x v="1"/>
    <x v="16"/>
    <x v="0"/>
  </r>
  <r>
    <d v="2026-05-27T00:00:00"/>
    <x v="1"/>
    <s v="CHURCAMPA"/>
    <s v="ANCO"/>
    <x v="0"/>
    <x v="16"/>
    <x v="0"/>
  </r>
  <r>
    <d v="2026-05-27T00:00:00"/>
    <x v="2"/>
    <s v="LIMA"/>
    <s v="LIMA"/>
    <x v="0"/>
    <x v="16"/>
    <x v="0"/>
  </r>
  <r>
    <d v="2026-05-27T00:00:00"/>
    <x v="0"/>
    <s v="JAUJA"/>
    <s v="ACOLLA"/>
    <x v="0"/>
    <x v="16"/>
    <x v="0"/>
  </r>
  <r>
    <d v="2026-05-27T00:00:00"/>
    <x v="0"/>
    <s v="HUANCAYO"/>
    <s v="SAN AGUSTIN"/>
    <x v="1"/>
    <x v="16"/>
    <x v="0"/>
  </r>
  <r>
    <d v="2026-05-27T00:00:00"/>
    <x v="0"/>
    <s v="HUANCAYO"/>
    <s v="EL TAMBO"/>
    <x v="0"/>
    <x v="16"/>
    <x v="1"/>
  </r>
  <r>
    <d v="2026-05-27T00:00:00"/>
    <x v="0"/>
    <s v="HUANCAYO"/>
    <s v="EL TAMBO"/>
    <x v="1"/>
    <x v="16"/>
    <x v="1"/>
  </r>
  <r>
    <d v="2026-05-27T00:00:00"/>
    <x v="0"/>
    <s v="HUANCAYO"/>
    <s v="CHILCA"/>
    <x v="0"/>
    <x v="16"/>
    <x v="0"/>
  </r>
  <r>
    <d v="2026-05-27T00:00:00"/>
    <x v="0"/>
    <s v="HUANCAYO"/>
    <s v="HUALHUAS"/>
    <x v="1"/>
    <x v="16"/>
    <x v="1"/>
  </r>
  <r>
    <d v="2026-05-27T00:00:00"/>
    <x v="0"/>
    <s v="HUANCAYO"/>
    <s v="HUANCAYO"/>
    <x v="1"/>
    <x v="16"/>
    <x v="0"/>
  </r>
  <r>
    <d v="2026-05-27T00:00:00"/>
    <x v="0"/>
    <s v="HUANCAYO"/>
    <s v="CHILCA"/>
    <x v="8"/>
    <x v="16"/>
    <x v="1"/>
  </r>
  <r>
    <d v="2026-05-27T00:00:00"/>
    <x v="0"/>
    <s v="HUANCAYO"/>
    <s v="HUANCAN"/>
    <x v="0"/>
    <x v="16"/>
    <x v="0"/>
  </r>
  <r>
    <d v="2026-05-27T00:00:00"/>
    <x v="0"/>
    <s v="HUANCAYO"/>
    <s v="CHILCA"/>
    <x v="0"/>
    <x v="16"/>
    <x v="0"/>
  </r>
  <r>
    <d v="2026-05-27T00:00:00"/>
    <x v="0"/>
    <s v="HUANCAYO"/>
    <s v="CHILCA"/>
    <x v="1"/>
    <x v="16"/>
    <x v="1"/>
  </r>
  <r>
    <d v="2026-05-27T00:00:00"/>
    <x v="0"/>
    <s v="CHUPACA"/>
    <s v="CHUPACA"/>
    <x v="1"/>
    <x v="16"/>
    <x v="0"/>
  </r>
  <r>
    <d v="2026-05-27T00:00:00"/>
    <x v="0"/>
    <s v="HUANCAYO"/>
    <s v="HUANCAYO"/>
    <x v="1"/>
    <x v="16"/>
    <x v="0"/>
  </r>
  <r>
    <d v="2026-05-27T00:00:00"/>
    <x v="0"/>
    <s v="HUANCAYO"/>
    <s v="EL TAMBO"/>
    <x v="0"/>
    <x v="16"/>
    <x v="0"/>
  </r>
  <r>
    <d v="2026-05-27T00:00:00"/>
    <x v="0"/>
    <s v="HUANCAYO"/>
    <s v="CHILCA"/>
    <x v="1"/>
    <x v="16"/>
    <x v="1"/>
  </r>
  <r>
    <d v="2026-05-27T00:00:00"/>
    <x v="0"/>
    <s v="HUANCAYO"/>
    <s v="EL TAMBO"/>
    <x v="1"/>
    <x v="16"/>
    <x v="0"/>
  </r>
  <r>
    <d v="2026-05-27T00:00:00"/>
    <x v="0"/>
    <s v="YAULI"/>
    <s v="SANTA BARBARA DE CARHUACAYAN"/>
    <x v="1"/>
    <x v="32"/>
    <x v="0"/>
  </r>
  <r>
    <d v="2026-05-27T00:00:00"/>
    <x v="0"/>
    <s v="JAUJA"/>
    <s v="TUNAN MARCA"/>
    <x v="0"/>
    <x v="32"/>
    <x v="0"/>
  </r>
  <r>
    <d v="2026-05-27T00:00:00"/>
    <x v="0"/>
    <s v="TARMA"/>
    <s v="TARMA"/>
    <x v="0"/>
    <x v="32"/>
    <x v="0"/>
  </r>
  <r>
    <d v="2026-05-27T00:00:00"/>
    <x v="0"/>
    <s v="HUANCAYO"/>
    <s v="HUANCAN"/>
    <x v="1"/>
    <x v="32"/>
    <x v="0"/>
  </r>
  <r>
    <d v="2026-05-27T00:00:00"/>
    <x v="0"/>
    <s v="TARMA"/>
    <s v="ACOBAMBA"/>
    <x v="0"/>
    <x v="32"/>
    <x v="1"/>
  </r>
  <r>
    <d v="2026-05-27T00:00:00"/>
    <x v="0"/>
    <s v="TARMA"/>
    <s v="TARMA"/>
    <x v="0"/>
    <x v="32"/>
    <x v="1"/>
  </r>
  <r>
    <d v="2026-05-27T00:00:00"/>
    <x v="0"/>
    <s v="TARMA"/>
    <s v="TARMA"/>
    <x v="0"/>
    <x v="33"/>
    <x v="0"/>
  </r>
  <r>
    <d v="2026-05-27T00:00:00"/>
    <x v="0"/>
    <s v="HUANCAYO"/>
    <s v="SAN JERONIMO DE TUNAN"/>
    <x v="0"/>
    <x v="33"/>
    <x v="1"/>
  </r>
  <r>
    <d v="2026-05-27T00:00:00"/>
    <x v="0"/>
    <s v="HUANCAYO"/>
    <s v="HUANCAN"/>
    <x v="1"/>
    <x v="34"/>
    <x v="0"/>
  </r>
  <r>
    <d v="2026-05-27T00:00:00"/>
    <x v="0"/>
    <s v="HUANCAYO"/>
    <s v="SICAYA"/>
    <x v="1"/>
    <x v="34"/>
    <x v="0"/>
  </r>
  <r>
    <d v="2026-05-27T00:00:00"/>
    <x v="0"/>
    <s v="HUANCAYO"/>
    <s v="CHILCA"/>
    <x v="1"/>
    <x v="34"/>
    <x v="1"/>
  </r>
  <r>
    <d v="2026-05-27T00:00:00"/>
    <x v="2"/>
    <s v="LIMA"/>
    <s v="ATE"/>
    <x v="1"/>
    <x v="34"/>
    <x v="1"/>
  </r>
  <r>
    <d v="2026-05-27T00:00:00"/>
    <x v="0"/>
    <s v="HUANCAYO"/>
    <s v="HUANCAN"/>
    <x v="1"/>
    <x v="34"/>
    <x v="0"/>
  </r>
  <r>
    <d v="2026-05-27T00:00:00"/>
    <x v="0"/>
    <s v="HUANCAYO"/>
    <s v="EL TAMBO"/>
    <x v="1"/>
    <x v="34"/>
    <x v="1"/>
  </r>
  <r>
    <d v="2026-05-27T00:00:00"/>
    <x v="0"/>
    <s v="HUANCAYO"/>
    <s v="HUANCAYO"/>
    <x v="0"/>
    <x v="34"/>
    <x v="0"/>
  </r>
  <r>
    <d v="2026-05-27T00:00:00"/>
    <x v="0"/>
    <s v="JAUJA"/>
    <s v="PACCHA"/>
    <x v="0"/>
    <x v="34"/>
    <x v="1"/>
  </r>
  <r>
    <d v="2026-05-27T00:00:00"/>
    <x v="1"/>
    <s v="ACOBAMBA"/>
    <s v="ACOBAMBA"/>
    <x v="1"/>
    <x v="34"/>
    <x v="1"/>
  </r>
  <r>
    <d v="2026-05-27T00:00:00"/>
    <x v="0"/>
    <s v="HUANCAYO"/>
    <s v="EL TAMBO"/>
    <x v="1"/>
    <x v="34"/>
    <x v="1"/>
  </r>
  <r>
    <d v="2026-05-27T00:00:00"/>
    <x v="1"/>
    <s v="CHURCAMPA"/>
    <s v="LOCROJA"/>
    <x v="1"/>
    <x v="34"/>
    <x v="1"/>
  </r>
  <r>
    <d v="2026-05-27T00:00:00"/>
    <x v="0"/>
    <s v="JAUJA"/>
    <s v="YAUYOS"/>
    <x v="1"/>
    <x v="34"/>
    <x v="0"/>
  </r>
  <r>
    <d v="2026-05-27T00:00:00"/>
    <x v="0"/>
    <s v="CHUPACA"/>
    <s v="CHUPACA"/>
    <x v="0"/>
    <x v="34"/>
    <x v="0"/>
  </r>
  <r>
    <d v="2026-05-27T00:00:00"/>
    <x v="0"/>
    <s v="HUANCAYO"/>
    <s v="CHILCA"/>
    <x v="0"/>
    <x v="34"/>
    <x v="0"/>
  </r>
  <r>
    <d v="2026-05-27T00:00:00"/>
    <x v="0"/>
    <s v="SATIPO"/>
    <s v="RIO NEGRO"/>
    <x v="1"/>
    <x v="35"/>
    <x v="1"/>
  </r>
  <r>
    <d v="2026-05-27T00:00:00"/>
    <x v="0"/>
    <s v="SATIPO"/>
    <s v="SATIPO"/>
    <x v="0"/>
    <x v="35"/>
    <x v="1"/>
  </r>
  <r>
    <d v="2026-05-27T00:00:00"/>
    <x v="0"/>
    <s v="SATIPO"/>
    <s v="PANGOA"/>
    <x v="0"/>
    <x v="35"/>
    <x v="1"/>
  </r>
  <r>
    <d v="2026-05-27T00:00:00"/>
    <x v="0"/>
    <s v="SATIPO"/>
    <s v="RIO NEGRO"/>
    <x v="1"/>
    <x v="35"/>
    <x v="0"/>
  </r>
  <r>
    <d v="2026-05-27T00:00:00"/>
    <x v="3"/>
    <s v="HUAMANGA"/>
    <s v="AYACUCHO"/>
    <x v="1"/>
    <x v="35"/>
    <x v="0"/>
  </r>
  <r>
    <d v="2026-05-27T00:00:00"/>
    <x v="0"/>
    <s v="SATIPO"/>
    <s v="SATIPO"/>
    <x v="1"/>
    <x v="35"/>
    <x v="1"/>
  </r>
  <r>
    <d v="2026-05-27T00:00:00"/>
    <x v="0"/>
    <s v="SATIPO"/>
    <s v="SATIPO"/>
    <x v="1"/>
    <x v="35"/>
    <x v="1"/>
  </r>
  <r>
    <d v="2026-05-27T00:00:00"/>
    <x v="0"/>
    <s v="SATIPO"/>
    <s v="SATIPO"/>
    <x v="1"/>
    <x v="35"/>
    <x v="1"/>
  </r>
  <r>
    <d v="2026-05-27T00:00:00"/>
    <x v="0"/>
    <s v="SATIPO"/>
    <s v="SATIPO"/>
    <x v="1"/>
    <x v="35"/>
    <x v="1"/>
  </r>
  <r>
    <d v="2026-05-27T00:00:00"/>
    <x v="0"/>
    <s v="SATIPO"/>
    <s v="SATIPO"/>
    <x v="0"/>
    <x v="35"/>
    <x v="1"/>
  </r>
  <r>
    <d v="2026-05-27T00:00:00"/>
    <x v="0"/>
    <s v="SATIPO"/>
    <s v="PANGOA"/>
    <x v="1"/>
    <x v="35"/>
    <x v="1"/>
  </r>
  <r>
    <d v="2026-05-27T00:00:00"/>
    <x v="0"/>
    <s v="SATIPO"/>
    <s v="SATIPO"/>
    <x v="0"/>
    <x v="35"/>
    <x v="1"/>
  </r>
  <r>
    <d v="2026-05-27T00:00:00"/>
    <x v="9"/>
    <s v="HUANUCO"/>
    <s v="CHINCHAO"/>
    <x v="0"/>
    <x v="35"/>
    <x v="1"/>
  </r>
  <r>
    <d v="2026-05-27T00:00:00"/>
    <x v="0"/>
    <s v="HUANCAYO"/>
    <s v="EL TAMBO"/>
    <x v="1"/>
    <x v="36"/>
    <x v="1"/>
  </r>
  <r>
    <d v="2026-05-27T00:00:00"/>
    <x v="0"/>
    <s v="HUANCAYO"/>
    <s v="EL TAMBO"/>
    <x v="1"/>
    <x v="36"/>
    <x v="0"/>
  </r>
  <r>
    <d v="2026-05-27T00:00:00"/>
    <x v="1"/>
    <s v="HUANCAVELICA"/>
    <s v="ACORIA"/>
    <x v="1"/>
    <x v="36"/>
    <x v="0"/>
  </r>
  <r>
    <d v="2026-05-27T00:00:00"/>
    <x v="0"/>
    <s v="HUANCAYO"/>
    <s v="EL TAMBO"/>
    <x v="1"/>
    <x v="36"/>
    <x v="0"/>
  </r>
  <r>
    <d v="2026-05-27T00:00:00"/>
    <x v="0"/>
    <s v="CONCEPCION"/>
    <s v="CONCEPCION"/>
    <x v="1"/>
    <x v="36"/>
    <x v="1"/>
  </r>
  <r>
    <d v="2026-05-27T00:00:00"/>
    <x v="0"/>
    <s v="JUNIN"/>
    <s v="JUNIN"/>
    <x v="1"/>
    <x v="36"/>
    <x v="1"/>
  </r>
  <r>
    <d v="2026-05-27T00:00:00"/>
    <x v="0"/>
    <s v="JAUJA"/>
    <s v="MASMA CHICCHE"/>
    <x v="0"/>
    <x v="36"/>
    <x v="0"/>
  </r>
  <r>
    <d v="2026-05-27T00:00:00"/>
    <x v="0"/>
    <s v="HUANCAYO"/>
    <s v="SAN AGUSTIN"/>
    <x v="1"/>
    <x v="36"/>
    <x v="1"/>
  </r>
  <r>
    <d v="2026-05-27T00:00:00"/>
    <x v="0"/>
    <s v="HUANCAYO"/>
    <s v="CHILCA"/>
    <x v="1"/>
    <x v="36"/>
    <x v="0"/>
  </r>
  <r>
    <d v="2026-05-27T00:00:00"/>
    <x v="0"/>
    <s v="HUANCAYO"/>
    <s v="SAN AGUSTIN"/>
    <x v="1"/>
    <x v="36"/>
    <x v="0"/>
  </r>
  <r>
    <d v="2026-05-27T00:00:00"/>
    <x v="0"/>
    <s v="HUANCAYO"/>
    <s v="SICAYA"/>
    <x v="1"/>
    <x v="36"/>
    <x v="0"/>
  </r>
  <r>
    <d v="2026-05-27T00:00:00"/>
    <x v="0"/>
    <s v="HUANCAYO"/>
    <s v="EL TAMBO"/>
    <x v="1"/>
    <x v="36"/>
    <x v="1"/>
  </r>
  <r>
    <d v="2026-05-27T00:00:00"/>
    <x v="0"/>
    <s v="HUANCAYO"/>
    <s v="EL TAMBO"/>
    <x v="1"/>
    <x v="36"/>
    <x v="0"/>
  </r>
  <r>
    <d v="2026-05-27T00:00:00"/>
    <x v="0"/>
    <s v="HUANCAYO"/>
    <s v="HUAYUCACHI"/>
    <x v="1"/>
    <x v="36"/>
    <x v="1"/>
  </r>
  <r>
    <d v="2026-05-27T00:00:00"/>
    <x v="0"/>
    <s v="HUANCAYO"/>
    <s v="CHILCA"/>
    <x v="1"/>
    <x v="2"/>
    <x v="1"/>
  </r>
  <r>
    <d v="2026-05-27T00:00:00"/>
    <x v="0"/>
    <s v="HUANCAYO"/>
    <s v="SAPALLANGA"/>
    <x v="1"/>
    <x v="36"/>
    <x v="0"/>
  </r>
  <r>
    <d v="2026-05-27T00:00:00"/>
    <x v="0"/>
    <s v="CONCEPCION"/>
    <s v="MATAHUASI"/>
    <x v="1"/>
    <x v="36"/>
    <x v="0"/>
  </r>
  <r>
    <d v="2026-05-27T00:00:00"/>
    <x v="0"/>
    <s v="CONCEPCION"/>
    <s v="SANTA ROSA DE OCOPA"/>
    <x v="1"/>
    <x v="36"/>
    <x v="0"/>
  </r>
  <r>
    <d v="2026-05-27T00:00:00"/>
    <x v="0"/>
    <s v="CHUPACA"/>
    <s v="CHONGOS BAJO"/>
    <x v="0"/>
    <x v="37"/>
    <x v="0"/>
  </r>
  <r>
    <d v="2026-05-27T00:00:00"/>
    <x v="5"/>
    <s v="ANDAHUAYLAS"/>
    <s v="SAN JERONIMO"/>
    <x v="1"/>
    <x v="37"/>
    <x v="0"/>
  </r>
  <r>
    <d v="2026-05-27T00:00:00"/>
    <x v="1"/>
    <s v="CHURCAMPA"/>
    <s v="CHURCAMPA"/>
    <x v="0"/>
    <x v="37"/>
    <x v="0"/>
  </r>
  <r>
    <d v="2026-05-27T00:00:00"/>
    <x v="0"/>
    <s v="HUANCAYO"/>
    <s v="SAÑO"/>
    <x v="4"/>
    <x v="37"/>
    <x v="0"/>
  </r>
  <r>
    <d v="2026-05-27T00:00:00"/>
    <x v="0"/>
    <s v="HUANCAYO"/>
    <s v="HUANCAYO"/>
    <x v="0"/>
    <x v="37"/>
    <x v="1"/>
  </r>
  <r>
    <d v="2026-05-27T00:00:00"/>
    <x v="0"/>
    <s v="HUANCAYO"/>
    <s v="CHILCA"/>
    <x v="0"/>
    <x v="37"/>
    <x v="0"/>
  </r>
  <r>
    <d v="2026-05-27T00:00:00"/>
    <x v="0"/>
    <s v="HUANCAYO"/>
    <s v="EL TAMBO"/>
    <x v="1"/>
    <x v="37"/>
    <x v="1"/>
  </r>
  <r>
    <d v="2026-05-27T00:00:00"/>
    <x v="3"/>
    <s v="HUANTA"/>
    <s v="PUCACOLPA"/>
    <x v="1"/>
    <x v="37"/>
    <x v="0"/>
  </r>
  <r>
    <d v="2026-05-27T00:00:00"/>
    <x v="0"/>
    <s v="HUANCAYO"/>
    <s v="EL TAMBO"/>
    <x v="1"/>
    <x v="37"/>
    <x v="0"/>
  </r>
  <r>
    <d v="2026-05-27T00:00:00"/>
    <x v="0"/>
    <s v="HUANCAYO"/>
    <s v="HUANCAYO"/>
    <x v="1"/>
    <x v="37"/>
    <x v="0"/>
  </r>
  <r>
    <d v="2026-05-27T00:00:00"/>
    <x v="0"/>
    <s v="HUANCAYO"/>
    <s v="EL TAMBO"/>
    <x v="1"/>
    <x v="37"/>
    <x v="0"/>
  </r>
  <r>
    <d v="2026-05-27T00:00:00"/>
    <x v="0"/>
    <s v="HUANCAYO"/>
    <s v="SAN AGUSTIN"/>
    <x v="1"/>
    <x v="37"/>
    <x v="0"/>
  </r>
  <r>
    <d v="2026-05-27T00:00:00"/>
    <x v="0"/>
    <s v="HUANCAYO"/>
    <s v="HUANCAYO"/>
    <x v="0"/>
    <x v="37"/>
    <x v="1"/>
  </r>
  <r>
    <d v="2026-05-27T00:00:00"/>
    <x v="0"/>
    <s v="CONCEPCION"/>
    <s v="CONCEPCION"/>
    <x v="1"/>
    <x v="37"/>
    <x v="1"/>
  </r>
  <r>
    <d v="2026-05-27T00:00:00"/>
    <x v="0"/>
    <s v="HUANCAYO"/>
    <s v="HUAYUCACHI"/>
    <x v="1"/>
    <x v="37"/>
    <x v="1"/>
  </r>
  <r>
    <d v="2026-05-27T00:00:00"/>
    <x v="0"/>
    <s v="HUANCAYO"/>
    <s v="EL TAMBO"/>
    <x v="1"/>
    <x v="37"/>
    <x v="1"/>
  </r>
  <r>
    <d v="2026-05-27T00:00:00"/>
    <x v="0"/>
    <s v="HUANCAYO"/>
    <s v="EL TAMBO"/>
    <x v="0"/>
    <x v="37"/>
    <x v="1"/>
  </r>
  <r>
    <d v="2026-05-27T00:00:00"/>
    <x v="0"/>
    <s v="JAUJA"/>
    <s v="JAUJA"/>
    <x v="1"/>
    <x v="37"/>
    <x v="0"/>
  </r>
  <r>
    <d v="2026-05-27T00:00:00"/>
    <x v="0"/>
    <s v="HUANCAYO"/>
    <s v="EL TAMBO"/>
    <x v="1"/>
    <x v="37"/>
    <x v="1"/>
  </r>
  <r>
    <d v="2026-05-27T00:00:00"/>
    <x v="0"/>
    <s v="HUANCAYO"/>
    <s v="EL TAMBO"/>
    <x v="1"/>
    <x v="37"/>
    <x v="1"/>
  </r>
  <r>
    <d v="2026-05-27T00:00:00"/>
    <x v="0"/>
    <s v="HUANCAYO"/>
    <s v="HUALHUAS"/>
    <x v="3"/>
    <x v="37"/>
    <x v="1"/>
  </r>
  <r>
    <d v="2026-05-27T00:00:00"/>
    <x v="0"/>
    <s v="HUANCAYO"/>
    <s v="HUANCAN"/>
    <x v="1"/>
    <x v="37"/>
    <x v="0"/>
  </r>
  <r>
    <d v="2026-05-27T00:00:00"/>
    <x v="0"/>
    <s v="HUANCAYO"/>
    <s v="EL TAMBO"/>
    <x v="1"/>
    <x v="37"/>
    <x v="1"/>
  </r>
  <r>
    <d v="2026-05-27T00:00:00"/>
    <x v="0"/>
    <s v="HUANCAYO"/>
    <s v="EL TAMBO"/>
    <x v="1"/>
    <x v="37"/>
    <x v="0"/>
  </r>
  <r>
    <d v="2026-05-27T00:00:00"/>
    <x v="0"/>
    <s v="HUANCAYO"/>
    <s v="EL TAMBO"/>
    <x v="0"/>
    <x v="37"/>
    <x v="1"/>
  </r>
  <r>
    <d v="2026-05-27T00:00:00"/>
    <x v="1"/>
    <s v="ACOBAMBA"/>
    <s v="PAUCARA"/>
    <x v="1"/>
    <x v="37"/>
    <x v="1"/>
  </r>
  <r>
    <d v="2026-05-27T00:00:00"/>
    <x v="0"/>
    <s v="HUANCAYO"/>
    <s v="QUICHUAY"/>
    <x v="1"/>
    <x v="37"/>
    <x v="0"/>
  </r>
  <r>
    <d v="2026-05-27T00:00:00"/>
    <x v="4"/>
    <s v="PASCO"/>
    <s v="YANACANCHA"/>
    <x v="1"/>
    <x v="37"/>
    <x v="1"/>
  </r>
  <r>
    <d v="2026-05-27T00:00:00"/>
    <x v="0"/>
    <s v="HUANCAYO"/>
    <s v="EL TAMBO"/>
    <x v="1"/>
    <x v="37"/>
    <x v="1"/>
  </r>
  <r>
    <d v="2026-05-27T00:00:00"/>
    <x v="0"/>
    <s v="HUANCAYO"/>
    <s v="HUANCAYO"/>
    <x v="0"/>
    <x v="37"/>
    <x v="0"/>
  </r>
  <r>
    <d v="2026-05-27T00:00:00"/>
    <x v="1"/>
    <s v="TAYACAJA"/>
    <s v="DANIEL HERNANDEZ"/>
    <x v="1"/>
    <x v="37"/>
    <x v="0"/>
  </r>
  <r>
    <d v="2026-05-27T00:00:00"/>
    <x v="0"/>
    <s v="HUANCAYO"/>
    <s v="CHILCA"/>
    <x v="0"/>
    <x v="37"/>
    <x v="1"/>
  </r>
  <r>
    <d v="2026-05-27T00:00:00"/>
    <x v="1"/>
    <s v="TAYACAJA"/>
    <s v="HUARIBAMBA"/>
    <x v="0"/>
    <x v="37"/>
    <x v="1"/>
  </r>
  <r>
    <d v="2026-05-27T00:00:00"/>
    <x v="0"/>
    <s v="HUANCAYO"/>
    <s v="EL TAMBO"/>
    <x v="1"/>
    <x v="37"/>
    <x v="0"/>
  </r>
  <r>
    <d v="2026-05-27T00:00:00"/>
    <x v="0"/>
    <s v="TARMA"/>
    <s v="TARMA"/>
    <x v="1"/>
    <x v="37"/>
    <x v="1"/>
  </r>
  <r>
    <d v="2026-05-27T00:00:00"/>
    <x v="2"/>
    <s v="HUAROCHIRI"/>
    <s v="MATUCANA"/>
    <x v="0"/>
    <x v="37"/>
    <x v="0"/>
  </r>
  <r>
    <d v="2026-05-27T00:00:00"/>
    <x v="0"/>
    <s v="HUANCAYO"/>
    <s v="EL TAMBO"/>
    <x v="1"/>
    <x v="37"/>
    <x v="1"/>
  </r>
  <r>
    <d v="2026-05-27T00:00:00"/>
    <x v="0"/>
    <s v="CHUPACA"/>
    <s v="TRES DE DICIEMBRE"/>
    <x v="3"/>
    <x v="37"/>
    <x v="1"/>
  </r>
  <r>
    <d v="2026-05-27T00:00:00"/>
    <x v="0"/>
    <s v="HUANCAYO"/>
    <s v="EL TAMBO"/>
    <x v="0"/>
    <x v="37"/>
    <x v="0"/>
  </r>
  <r>
    <d v="2026-05-27T00:00:00"/>
    <x v="1"/>
    <s v="TAYACAJA"/>
    <s v="PAZOS"/>
    <x v="1"/>
    <x v="37"/>
    <x v="0"/>
  </r>
  <r>
    <d v="2026-05-27T00:00:00"/>
    <x v="0"/>
    <s v="HUANCAYO"/>
    <s v="EL TAMBO"/>
    <x v="1"/>
    <x v="37"/>
    <x v="0"/>
  </r>
  <r>
    <d v="2026-05-27T00:00:00"/>
    <x v="0"/>
    <s v="HUANCAYO"/>
    <s v="EL TAMBO"/>
    <x v="0"/>
    <x v="37"/>
    <x v="1"/>
  </r>
  <r>
    <d v="2026-05-27T00:00:00"/>
    <x v="0"/>
    <s v="HUANCAYO"/>
    <s v="EL TAMBO"/>
    <x v="1"/>
    <x v="37"/>
    <x v="0"/>
  </r>
  <r>
    <d v="2026-05-27T00:00:00"/>
    <x v="0"/>
    <s v="HUANCAYO"/>
    <s v="EL TAMBO"/>
    <x v="1"/>
    <x v="17"/>
    <x v="0"/>
  </r>
  <r>
    <d v="2026-05-27T00:00:00"/>
    <x v="0"/>
    <s v="HUANCAYO"/>
    <s v="EL TAMBO"/>
    <x v="0"/>
    <x v="17"/>
    <x v="1"/>
  </r>
  <r>
    <d v="2026-05-27T00:00:00"/>
    <x v="0"/>
    <s v="TARMA"/>
    <s v="TARMA"/>
    <x v="1"/>
    <x v="17"/>
    <x v="0"/>
  </r>
  <r>
    <d v="2026-05-27T00:00:00"/>
    <x v="0"/>
    <s v="HUANCAYO"/>
    <s v="HUANCAYO"/>
    <x v="1"/>
    <x v="17"/>
    <x v="1"/>
  </r>
  <r>
    <d v="2026-05-27T00:00:00"/>
    <x v="0"/>
    <s v="HUANCAYO"/>
    <s v="HUANCAYO"/>
    <x v="1"/>
    <x v="17"/>
    <x v="1"/>
  </r>
  <r>
    <d v="2026-05-27T00:00:00"/>
    <x v="0"/>
    <s v="YAULI"/>
    <s v="LA OROYA"/>
    <x v="1"/>
    <x v="17"/>
    <x v="1"/>
  </r>
  <r>
    <d v="2026-05-27T00:00:00"/>
    <x v="0"/>
    <s v="HUANCAYO"/>
    <s v="CHILCA"/>
    <x v="1"/>
    <x v="17"/>
    <x v="0"/>
  </r>
  <r>
    <d v="2026-05-27T00:00:00"/>
    <x v="0"/>
    <s v="HUANCAYO"/>
    <s v="EL TAMBO"/>
    <x v="0"/>
    <x v="17"/>
    <x v="1"/>
  </r>
  <r>
    <d v="2026-05-27T00:00:00"/>
    <x v="0"/>
    <s v="HUANCAYO"/>
    <s v="EL TAMBO"/>
    <x v="1"/>
    <x v="17"/>
    <x v="0"/>
  </r>
  <r>
    <d v="2026-05-27T00:00:00"/>
    <x v="0"/>
    <s v="HUANCAYO"/>
    <s v="CHILCA"/>
    <x v="1"/>
    <x v="17"/>
    <x v="1"/>
  </r>
  <r>
    <d v="2026-05-27T00:00:00"/>
    <x v="0"/>
    <s v="HUANCAYO"/>
    <s v="EL TAMBO"/>
    <x v="1"/>
    <x v="17"/>
    <x v="0"/>
  </r>
  <r>
    <d v="2026-05-27T00:00:00"/>
    <x v="0"/>
    <s v="HUANCAYO"/>
    <s v="HUANCAYO"/>
    <x v="1"/>
    <x v="17"/>
    <x v="0"/>
  </r>
  <r>
    <d v="2026-05-27T00:00:00"/>
    <x v="0"/>
    <s v="HUANCAYO"/>
    <s v="HUANCAYO"/>
    <x v="1"/>
    <x v="17"/>
    <x v="0"/>
  </r>
  <r>
    <d v="2026-05-27T00:00:00"/>
    <x v="0"/>
    <s v="HUANCAYO"/>
    <s v="EL TAMBO"/>
    <x v="1"/>
    <x v="17"/>
    <x v="0"/>
  </r>
  <r>
    <d v="2026-05-27T00:00:00"/>
    <x v="0"/>
    <s v="HUANCAYO"/>
    <s v="HUANCAYO"/>
    <x v="1"/>
    <x v="17"/>
    <x v="1"/>
  </r>
  <r>
    <d v="2026-05-27T00:00:00"/>
    <x v="0"/>
    <s v="HUANCAYO"/>
    <s v="QUILCAS"/>
    <x v="0"/>
    <x v="17"/>
    <x v="0"/>
  </r>
  <r>
    <d v="2026-05-27T00:00:00"/>
    <x v="0"/>
    <s v="HUANCAYO"/>
    <s v="EL TAMBO"/>
    <x v="1"/>
    <x v="17"/>
    <x v="1"/>
  </r>
  <r>
    <d v="2026-05-27T00:00:00"/>
    <x v="0"/>
    <s v="HUANCAYO"/>
    <s v="HUANCAYO"/>
    <x v="0"/>
    <x v="17"/>
    <x v="1"/>
  </r>
  <r>
    <d v="2026-05-27T00:00:00"/>
    <x v="0"/>
    <s v="YAULI"/>
    <s v="LA OROYA"/>
    <x v="1"/>
    <x v="17"/>
    <x v="0"/>
  </r>
  <r>
    <d v="2026-05-27T00:00:00"/>
    <x v="0"/>
    <s v="HUANCAYO"/>
    <s v="EL TAMBO"/>
    <x v="0"/>
    <x v="17"/>
    <x v="1"/>
  </r>
  <r>
    <d v="2026-05-27T00:00:00"/>
    <x v="0"/>
    <s v="HUANCAYO"/>
    <s v="EL TAMBO"/>
    <x v="1"/>
    <x v="17"/>
    <x v="1"/>
  </r>
  <r>
    <d v="2026-05-27T00:00:00"/>
    <x v="0"/>
    <s v="CONCEPCION"/>
    <s v="CONCEPCION"/>
    <x v="1"/>
    <x v="17"/>
    <x v="0"/>
  </r>
  <r>
    <d v="2026-05-27T00:00:00"/>
    <x v="0"/>
    <s v="HUANCAYO"/>
    <s v="CHILCA"/>
    <x v="1"/>
    <x v="0"/>
    <x v="1"/>
  </r>
  <r>
    <d v="2026-05-27T00:00:00"/>
    <x v="0"/>
    <s v="HUANCAYO"/>
    <s v="PILCOMAYO"/>
    <x v="1"/>
    <x v="0"/>
    <x v="0"/>
  </r>
  <r>
    <d v="2026-05-27T00:00:00"/>
    <x v="1"/>
    <s v="TAYACAJA"/>
    <s v="ACOSTAMBO"/>
    <x v="3"/>
    <x v="0"/>
    <x v="1"/>
  </r>
  <r>
    <d v="2026-05-27T00:00:00"/>
    <x v="0"/>
    <s v="HUANCAYO"/>
    <s v="EL TAMBO"/>
    <x v="1"/>
    <x v="0"/>
    <x v="1"/>
  </r>
  <r>
    <d v="2026-05-27T00:00:00"/>
    <x v="0"/>
    <s v="HUANCAYO"/>
    <s v="HUANCAYO"/>
    <x v="0"/>
    <x v="0"/>
    <x v="1"/>
  </r>
  <r>
    <d v="2026-05-27T00:00:00"/>
    <x v="0"/>
    <s v="HUANCAYO"/>
    <s v="HUANCAN"/>
    <x v="1"/>
    <x v="0"/>
    <x v="0"/>
  </r>
  <r>
    <d v="2026-05-27T00:00:00"/>
    <x v="0"/>
    <s v="CONCEPCION"/>
    <s v="CONCEPCION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E31D9-79F0-46CA-A526-67806B9848A6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89:B100" firstHeaderRow="1" firstDataRow="1" firstDataCol="1"/>
  <pivotFields count="7">
    <pivotField numFmtId="14" showAll="0" insertBlankRow="1"/>
    <pivotField axis="axisRow" dataField="1" showAll="0" insertBlankRow="1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 insertBlankRow="1"/>
    <pivotField showAll="0" insertBlankRow="1"/>
    <pivotField showAll="0" insertBlankRow="1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showAll="0" insertBlankRow="1"/>
    <pivotField showAll="0" insertBlankRow="1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DEPARTAMEN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0C80A-1FF5-4BF7-B0F5-03DC985B0EF3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75:B78" firstHeaderRow="1" firstDataRow="1" firstDataCol="1"/>
  <pivotFields count="7">
    <pivotField numFmtId="14" showAll="0"/>
    <pivotField showAll="0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/>
    <pivotField showAll="0"/>
    <pivotField showAll="0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SEX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BCE15-05C3-4D55-8924-DA2ADCA61DFD}" name="TablaDiná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4">
  <location ref="A55:B66" firstHeaderRow="1" firstDataRow="1" firstDataCol="1"/>
  <pivotFields count="7">
    <pivotField numFmtId="14" showAll="0"/>
    <pivotField showAll="0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/>
    <pivotField showAll="0"/>
    <pivotField axis="axisRow" showAll="0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dataField="1" showAll="0">
      <items count="39">
        <item x="16"/>
        <item x="32"/>
        <item x="33"/>
        <item x="34"/>
        <item x="35"/>
        <item x="36"/>
        <item x="37"/>
        <item x="17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4"/>
        <item x="15"/>
        <item x="13"/>
        <item x="18"/>
        <item x="19"/>
        <item x="20"/>
        <item x="21"/>
        <item x="22"/>
        <item x="23"/>
        <item x="24"/>
        <item x="8"/>
        <item x="25"/>
        <item x="26"/>
        <item x="27"/>
        <item x="28"/>
        <item x="29"/>
        <item x="30"/>
        <item x="31"/>
        <item t="default"/>
      </items>
    </pivotField>
    <pivotField showAll="0">
      <items count="3">
        <item x="0"/>
        <item x="1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ESCUELA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E8C76-18D9-40E3-A366-1474043B1B0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12:B51" firstHeaderRow="1" firstDataRow="1" firstDataCol="1"/>
  <pivotFields count="7">
    <pivotField numFmtId="14" showAll="0"/>
    <pivotField showAll="0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/>
    <pivotField showAll="0"/>
    <pivotField showAll="0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axis="axisRow" dataField="1" showAll="0">
      <items count="39">
        <item x="16"/>
        <item x="32"/>
        <item x="33"/>
        <item x="34"/>
        <item x="35"/>
        <item x="36"/>
        <item x="37"/>
        <item x="17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4"/>
        <item x="15"/>
        <item x="13"/>
        <item x="18"/>
        <item x="19"/>
        <item x="20"/>
        <item x="21"/>
        <item x="22"/>
        <item x="23"/>
        <item x="24"/>
        <item x="8"/>
        <item x="25"/>
        <item x="26"/>
        <item x="27"/>
        <item x="28"/>
        <item x="29"/>
        <item x="30"/>
        <item x="31"/>
        <item t="default"/>
      </items>
    </pivotField>
    <pivotField showAll="0">
      <items count="3">
        <item x="0"/>
        <item x="1"/>
        <item t="default"/>
      </items>
    </pivotField>
  </pivotFields>
  <rowFields count="1">
    <field x="5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uenta de ESCUEL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32EC5-65A8-4625-A1D4-AB3D128A4F5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numFmtId="14" showAll="0"/>
    <pivotField showAll="0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/>
    <pivotField showAll="0"/>
    <pivotField showAll="0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Items count="1">
    <i/>
  </rowItems>
  <colItems count="1">
    <i/>
  </colItems>
  <dataFields count="1">
    <dataField name="Cuenta de ESCUEL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01C3E-B168-4C77-80BB-3C06BFDCE0AD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09:D149" firstHeaderRow="1" firstDataRow="2" firstDataCol="1"/>
  <pivotFields count="7">
    <pivotField numFmtId="14" showAll="0"/>
    <pivotField showAll="0">
      <items count="11">
        <item x="5"/>
        <item x="3"/>
        <item x="7"/>
        <item x="1"/>
        <item x="9"/>
        <item x="8"/>
        <item x="0"/>
        <item x="2"/>
        <item x="4"/>
        <item x="6"/>
        <item t="default"/>
      </items>
    </pivotField>
    <pivotField showAll="0"/>
    <pivotField showAll="0"/>
    <pivotField showAll="0">
      <items count="11">
        <item x="5"/>
        <item x="0"/>
        <item x="9"/>
        <item x="3"/>
        <item x="1"/>
        <item x="6"/>
        <item x="4"/>
        <item x="2"/>
        <item x="8"/>
        <item x="7"/>
        <item t="default"/>
      </items>
    </pivotField>
    <pivotField axis="axisRow" dataField="1" showAll="0">
      <items count="39">
        <item x="16"/>
        <item x="32"/>
        <item x="33"/>
        <item x="34"/>
        <item x="35"/>
        <item x="36"/>
        <item x="37"/>
        <item x="17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4"/>
        <item x="15"/>
        <item x="13"/>
        <item x="18"/>
        <item x="19"/>
        <item x="20"/>
        <item x="21"/>
        <item x="22"/>
        <item x="23"/>
        <item x="24"/>
        <item x="8"/>
        <item x="25"/>
        <item x="26"/>
        <item x="27"/>
        <item x="28"/>
        <item x="29"/>
        <item x="30"/>
        <item x="3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5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uenta de ESCUEL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CDADE0D5-4E39-4CE9-9E94-52ABD0FD00A0}" autoFormatId="16" applyNumberFormats="0" applyBorderFormats="0" applyFontFormats="0" applyPatternFormats="0" applyAlignmentFormats="0" applyWidthHeightFormats="0">
  <queryTableRefresh nextId="9">
    <queryTableFields count="7">
      <queryTableField id="1" name="FECHA_CORTE" tableColumnId="1"/>
      <queryTableField id="3" name="DEPARTAMENTO" tableColumnId="3"/>
      <queryTableField id="4" name="PROVINCIA" tableColumnId="4"/>
      <queryTableField id="5" name="DISTRITO" tableColumnId="5"/>
      <queryTableField id="6" name="TIPO_ADMISION" tableColumnId="6"/>
      <queryTableField id="7" name="ESCUELA" tableColumnId="7"/>
      <queryTableField id="8" name="SEXO" tableColumnId="8"/>
    </queryTableFields>
    <queryTableDeletedFields count="1">
      <deletedField name="PERIODO_INGRESANT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ADMISION" xr10:uid="{45BD653E-042A-493E-B38F-C25A3205A6EC}" sourceName="TIPO_ADMISION">
  <data>
    <tabular pivotCacheId="460519162">
      <items count="10">
        <i x="5" s="1"/>
        <i x="0" s="1"/>
        <i x="9" s="1"/>
        <i x="3" s="1"/>
        <i x="1" s="1"/>
        <i x="6" s="1"/>
        <i x="4" s="1"/>
        <i x="2" s="1"/>
        <i x="8" s="1"/>
        <i x="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1" xr10:uid="{620743DB-9F11-4EF2-B259-0F42AB935166}" sourceName="SEXO">
  <data>
    <tabular pivotCacheId="460519162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1" xr10:uid="{6E3546D0-AA05-40EC-9852-71C0C002D496}" sourceName="DEPARTAMENTO">
  <data>
    <tabular pivotCacheId="460519162">
      <items count="10">
        <i x="5" s="1"/>
        <i x="3" s="1"/>
        <i x="7" s="1"/>
        <i x="1" s="1"/>
        <i x="9" s="1"/>
        <i x="8" s="1"/>
        <i x="0" s="1"/>
        <i x="2" s="1"/>
        <i x="4" s="1"/>
        <i x="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ADMISION" xr10:uid="{277247BA-56A6-42F7-8844-E37735219324}" cache="SegmentaciónDeDatos_TIPO_ADMISION" style="Mi estilo 1 2" rowHeight="180000"/>
  <slicer name="SEXO 2" xr10:uid="{4BC2BB5B-AAD8-4D78-8BFC-A0BFA34C6324}" cache="SegmentaciónDeDatos_SEXO1" style="Mi estilo 1 2" rowHeight="180000"/>
  <slicer name="DEPARTAMENTO 1" xr10:uid="{1DA25B36-584F-450C-8AD4-582A0FBDC8F1}" cache="SegmentaciónDeDatos_DEPARTAMENTO1" startItem="4" style="Mi estilo 1 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83F02-8240-480D-ACBF-AD92E0CAC89D}" name="INGRESANTES_2025_2_0__BASE_DE_DATOS_1" displayName="INGRESANTES_2025_2_0__BASE_DE_DATOS_1" ref="A1:G883" tableType="queryTable" totalsRowShown="0">
  <autoFilter ref="A1:G883" xr:uid="{81E14145-CE2C-4EDB-9160-22D6B75A6F60}"/>
  <tableColumns count="7">
    <tableColumn id="1" xr3:uid="{58E21C67-A858-4049-B724-2C1DE1483D15}" uniqueName="1" name="FECHA_CORTE" queryTableFieldId="1" dataDxfId="0"/>
    <tableColumn id="3" xr3:uid="{830E3D33-E509-4D43-9EDE-4BB33D4475F2}" uniqueName="3" name="DEPARTAMENTO" queryTableFieldId="3"/>
    <tableColumn id="4" xr3:uid="{9C702312-EC03-4E9A-B27B-06D775FC687B}" uniqueName="4" name="PROVINCIA" queryTableFieldId="4"/>
    <tableColumn id="5" xr3:uid="{9C0613FE-89BE-45D3-87D4-A3C556553671}" uniqueName="5" name="DISTRITO" queryTableFieldId="5"/>
    <tableColumn id="6" xr3:uid="{C4293067-6886-4267-B031-32FF44106980}" uniqueName="6" name="TIPO_ADMISION" queryTableFieldId="6"/>
    <tableColumn id="7" xr3:uid="{1F6976B9-4ACF-43DD-A489-E15F40BF3F66}" uniqueName="7" name="ESCUELA" queryTableFieldId="7"/>
    <tableColumn id="8" xr3:uid="{167DFD33-1F4C-49B7-ABFD-D1FF85291EB1}" uniqueName="8" name="SEX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54DE-3917-4F8A-9FCC-226C3B790C7E}">
  <dimension ref="A1:G883"/>
  <sheetViews>
    <sheetView tabSelected="1" zoomScale="80" zoomScaleNormal="10" workbookViewId="0">
      <selection activeCell="J7" sqref="J7"/>
    </sheetView>
  </sheetViews>
  <sheetFormatPr baseColWidth="10" defaultRowHeight="14.4" x14ac:dyDescent="0.3"/>
  <cols>
    <col min="1" max="7" width="2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46169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1">
        <v>46169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3">
      <c r="A4" s="1">
        <v>46169</v>
      </c>
      <c r="B4" t="s">
        <v>7</v>
      </c>
      <c r="C4" t="s">
        <v>8</v>
      </c>
      <c r="D4" t="s">
        <v>8</v>
      </c>
      <c r="E4" t="s">
        <v>10</v>
      </c>
      <c r="F4" t="s">
        <v>15</v>
      </c>
      <c r="G4" t="s">
        <v>12</v>
      </c>
    </row>
    <row r="5" spans="1:7" x14ac:dyDescent="0.3">
      <c r="A5" s="1">
        <v>46169</v>
      </c>
      <c r="B5" t="s">
        <v>7</v>
      </c>
      <c r="C5" t="s">
        <v>8</v>
      </c>
      <c r="D5" t="s">
        <v>17</v>
      </c>
      <c r="E5" t="s">
        <v>18</v>
      </c>
      <c r="F5" t="s">
        <v>15</v>
      </c>
      <c r="G5" t="s">
        <v>12</v>
      </c>
    </row>
    <row r="6" spans="1:7" x14ac:dyDescent="0.3">
      <c r="A6" s="1">
        <v>46169</v>
      </c>
      <c r="B6" t="s">
        <v>7</v>
      </c>
      <c r="C6" t="s">
        <v>19</v>
      </c>
      <c r="D6" t="s">
        <v>19</v>
      </c>
      <c r="E6" t="s">
        <v>18</v>
      </c>
      <c r="F6" t="s">
        <v>15</v>
      </c>
      <c r="G6" t="s">
        <v>12</v>
      </c>
    </row>
    <row r="7" spans="1:7" x14ac:dyDescent="0.3">
      <c r="A7" s="1">
        <v>46169</v>
      </c>
      <c r="B7" t="s">
        <v>7</v>
      </c>
      <c r="C7" t="s">
        <v>8</v>
      </c>
      <c r="D7" t="s">
        <v>8</v>
      </c>
      <c r="E7" t="s">
        <v>18</v>
      </c>
      <c r="F7" t="s">
        <v>15</v>
      </c>
      <c r="G7" t="s">
        <v>12</v>
      </c>
    </row>
    <row r="8" spans="1:7" x14ac:dyDescent="0.3">
      <c r="A8" s="1">
        <v>46169</v>
      </c>
      <c r="B8" t="s">
        <v>7</v>
      </c>
      <c r="C8" t="s">
        <v>8</v>
      </c>
      <c r="D8" t="s">
        <v>17</v>
      </c>
      <c r="E8" t="s">
        <v>18</v>
      </c>
      <c r="F8" t="s">
        <v>15</v>
      </c>
      <c r="G8" t="s">
        <v>16</v>
      </c>
    </row>
    <row r="9" spans="1:7" x14ac:dyDescent="0.3">
      <c r="A9" s="1">
        <v>46169</v>
      </c>
      <c r="B9" t="s">
        <v>7</v>
      </c>
      <c r="C9" t="s">
        <v>13</v>
      </c>
      <c r="D9" t="s">
        <v>20</v>
      </c>
      <c r="E9" t="s">
        <v>10</v>
      </c>
      <c r="F9" t="s">
        <v>15</v>
      </c>
      <c r="G9" t="s">
        <v>16</v>
      </c>
    </row>
    <row r="10" spans="1:7" x14ac:dyDescent="0.3">
      <c r="A10" s="1">
        <v>46169</v>
      </c>
      <c r="B10" t="s">
        <v>7</v>
      </c>
      <c r="C10" t="s">
        <v>8</v>
      </c>
      <c r="D10" t="s">
        <v>21</v>
      </c>
      <c r="E10" t="s">
        <v>18</v>
      </c>
      <c r="F10" t="s">
        <v>15</v>
      </c>
      <c r="G10" t="s">
        <v>16</v>
      </c>
    </row>
    <row r="11" spans="1:7" x14ac:dyDescent="0.3">
      <c r="A11" s="1">
        <v>46169</v>
      </c>
      <c r="B11" t="s">
        <v>7</v>
      </c>
      <c r="C11" t="s">
        <v>8</v>
      </c>
      <c r="D11" t="s">
        <v>22</v>
      </c>
      <c r="E11" t="s">
        <v>18</v>
      </c>
      <c r="F11" t="s">
        <v>15</v>
      </c>
      <c r="G11" t="s">
        <v>12</v>
      </c>
    </row>
    <row r="12" spans="1:7" x14ac:dyDescent="0.3">
      <c r="A12" s="1">
        <v>46169</v>
      </c>
      <c r="B12" t="s">
        <v>7</v>
      </c>
      <c r="C12" t="s">
        <v>8</v>
      </c>
      <c r="D12" t="s">
        <v>23</v>
      </c>
      <c r="E12" t="s">
        <v>18</v>
      </c>
      <c r="F12" t="s">
        <v>15</v>
      </c>
      <c r="G12" t="s">
        <v>12</v>
      </c>
    </row>
    <row r="13" spans="1:7" x14ac:dyDescent="0.3">
      <c r="A13" s="1">
        <v>46169</v>
      </c>
      <c r="B13" t="s">
        <v>7</v>
      </c>
      <c r="C13" t="s">
        <v>8</v>
      </c>
      <c r="D13" t="s">
        <v>22</v>
      </c>
      <c r="E13" t="s">
        <v>10</v>
      </c>
      <c r="F13" t="s">
        <v>15</v>
      </c>
      <c r="G13" t="s">
        <v>12</v>
      </c>
    </row>
    <row r="14" spans="1:7" x14ac:dyDescent="0.3">
      <c r="A14" s="1">
        <v>46169</v>
      </c>
      <c r="B14" t="s">
        <v>7</v>
      </c>
      <c r="C14" t="s">
        <v>8</v>
      </c>
      <c r="D14" t="s">
        <v>17</v>
      </c>
      <c r="E14" t="s">
        <v>18</v>
      </c>
      <c r="F14" t="s">
        <v>15</v>
      </c>
      <c r="G14" t="s">
        <v>16</v>
      </c>
    </row>
    <row r="15" spans="1:7" x14ac:dyDescent="0.3">
      <c r="A15" s="1">
        <v>46169</v>
      </c>
      <c r="B15" t="s">
        <v>7</v>
      </c>
      <c r="C15" t="s">
        <v>8</v>
      </c>
      <c r="D15" t="s">
        <v>17</v>
      </c>
      <c r="E15" t="s">
        <v>18</v>
      </c>
      <c r="F15" t="s">
        <v>15</v>
      </c>
      <c r="G15" t="s">
        <v>12</v>
      </c>
    </row>
    <row r="16" spans="1:7" x14ac:dyDescent="0.3">
      <c r="A16" s="1">
        <v>46169</v>
      </c>
      <c r="B16" t="s">
        <v>7</v>
      </c>
      <c r="C16" t="s">
        <v>8</v>
      </c>
      <c r="D16" t="s">
        <v>22</v>
      </c>
      <c r="E16" t="s">
        <v>18</v>
      </c>
      <c r="F16" t="s">
        <v>15</v>
      </c>
      <c r="G16" t="s">
        <v>16</v>
      </c>
    </row>
    <row r="17" spans="1:7" x14ac:dyDescent="0.3">
      <c r="A17" s="1">
        <v>46169</v>
      </c>
      <c r="B17" t="s">
        <v>7</v>
      </c>
      <c r="C17" t="s">
        <v>8</v>
      </c>
      <c r="D17" t="s">
        <v>24</v>
      </c>
      <c r="E17" t="s">
        <v>18</v>
      </c>
      <c r="F17" t="s">
        <v>15</v>
      </c>
      <c r="G17" t="s">
        <v>12</v>
      </c>
    </row>
    <row r="18" spans="1:7" x14ac:dyDescent="0.3">
      <c r="A18" s="1">
        <v>46169</v>
      </c>
      <c r="B18" t="s">
        <v>7</v>
      </c>
      <c r="C18" t="s">
        <v>8</v>
      </c>
      <c r="D18" t="s">
        <v>25</v>
      </c>
      <c r="E18" t="s">
        <v>10</v>
      </c>
      <c r="F18" t="s">
        <v>15</v>
      </c>
      <c r="G18" t="s">
        <v>16</v>
      </c>
    </row>
    <row r="19" spans="1:7" x14ac:dyDescent="0.3">
      <c r="A19" s="1">
        <v>46169</v>
      </c>
      <c r="B19" t="s">
        <v>7</v>
      </c>
      <c r="C19" t="s">
        <v>26</v>
      </c>
      <c r="D19" t="s">
        <v>27</v>
      </c>
      <c r="E19" t="s">
        <v>18</v>
      </c>
      <c r="F19" t="s">
        <v>15</v>
      </c>
      <c r="G19" t="s">
        <v>16</v>
      </c>
    </row>
    <row r="20" spans="1:7" x14ac:dyDescent="0.3">
      <c r="A20" s="1">
        <v>46169</v>
      </c>
      <c r="B20" t="s">
        <v>7</v>
      </c>
      <c r="C20" t="s">
        <v>8</v>
      </c>
      <c r="D20" t="s">
        <v>24</v>
      </c>
      <c r="E20" t="s">
        <v>10</v>
      </c>
      <c r="F20" t="s">
        <v>15</v>
      </c>
      <c r="G20" t="s">
        <v>12</v>
      </c>
    </row>
    <row r="21" spans="1:7" x14ac:dyDescent="0.3">
      <c r="A21" s="1">
        <v>46169</v>
      </c>
      <c r="B21" t="s">
        <v>7</v>
      </c>
      <c r="C21" t="s">
        <v>8</v>
      </c>
      <c r="D21" t="s">
        <v>22</v>
      </c>
      <c r="E21" t="s">
        <v>10</v>
      </c>
      <c r="F21" t="s">
        <v>15</v>
      </c>
      <c r="G21" t="s">
        <v>16</v>
      </c>
    </row>
    <row r="22" spans="1:7" x14ac:dyDescent="0.3">
      <c r="A22" s="1">
        <v>46169</v>
      </c>
      <c r="B22" t="s">
        <v>7</v>
      </c>
      <c r="C22" t="s">
        <v>8</v>
      </c>
      <c r="D22" t="s">
        <v>28</v>
      </c>
      <c r="E22" t="s">
        <v>18</v>
      </c>
      <c r="F22" t="s">
        <v>15</v>
      </c>
      <c r="G22" t="s">
        <v>16</v>
      </c>
    </row>
    <row r="23" spans="1:7" x14ac:dyDescent="0.3">
      <c r="A23" s="1">
        <v>46169</v>
      </c>
      <c r="B23" t="s">
        <v>7</v>
      </c>
      <c r="C23" t="s">
        <v>8</v>
      </c>
      <c r="D23" t="s">
        <v>17</v>
      </c>
      <c r="E23" t="s">
        <v>18</v>
      </c>
      <c r="F23" t="s">
        <v>15</v>
      </c>
      <c r="G23" t="s">
        <v>16</v>
      </c>
    </row>
    <row r="24" spans="1:7" x14ac:dyDescent="0.3">
      <c r="A24" s="1">
        <v>46169</v>
      </c>
      <c r="B24" t="s">
        <v>7</v>
      </c>
      <c r="C24" t="s">
        <v>19</v>
      </c>
      <c r="D24" t="s">
        <v>19</v>
      </c>
      <c r="E24" t="s">
        <v>10</v>
      </c>
      <c r="F24" t="s">
        <v>15</v>
      </c>
      <c r="G24" t="s">
        <v>16</v>
      </c>
    </row>
    <row r="25" spans="1:7" x14ac:dyDescent="0.3">
      <c r="A25" s="1">
        <v>46169</v>
      </c>
      <c r="B25" t="s">
        <v>7</v>
      </c>
      <c r="C25" t="s">
        <v>8</v>
      </c>
      <c r="D25" t="s">
        <v>24</v>
      </c>
      <c r="E25" t="s">
        <v>18</v>
      </c>
      <c r="F25" t="s">
        <v>15</v>
      </c>
      <c r="G25" t="s">
        <v>12</v>
      </c>
    </row>
    <row r="26" spans="1:7" x14ac:dyDescent="0.3">
      <c r="A26" s="1">
        <v>46169</v>
      </c>
      <c r="B26" t="s">
        <v>29</v>
      </c>
      <c r="C26" t="s">
        <v>29</v>
      </c>
      <c r="D26" t="s">
        <v>30</v>
      </c>
      <c r="E26" t="s">
        <v>10</v>
      </c>
      <c r="F26" t="s">
        <v>15</v>
      </c>
      <c r="G26" t="s">
        <v>12</v>
      </c>
    </row>
    <row r="27" spans="1:7" x14ac:dyDescent="0.3">
      <c r="A27" s="1">
        <v>46169</v>
      </c>
      <c r="B27" t="s">
        <v>29</v>
      </c>
      <c r="C27" t="s">
        <v>29</v>
      </c>
      <c r="D27" t="s">
        <v>29</v>
      </c>
      <c r="E27" t="s">
        <v>18</v>
      </c>
      <c r="F27" t="s">
        <v>15</v>
      </c>
      <c r="G27" t="s">
        <v>12</v>
      </c>
    </row>
    <row r="28" spans="1:7" x14ac:dyDescent="0.3">
      <c r="A28" s="1">
        <v>46169</v>
      </c>
      <c r="B28" t="s">
        <v>29</v>
      </c>
      <c r="C28" t="s">
        <v>29</v>
      </c>
      <c r="D28" t="s">
        <v>31</v>
      </c>
      <c r="E28" t="s">
        <v>10</v>
      </c>
      <c r="F28" t="s">
        <v>15</v>
      </c>
      <c r="G28" t="s">
        <v>12</v>
      </c>
    </row>
    <row r="29" spans="1:7" x14ac:dyDescent="0.3">
      <c r="A29" s="1">
        <v>46169</v>
      </c>
      <c r="B29" t="s">
        <v>7</v>
      </c>
      <c r="C29" t="s">
        <v>8</v>
      </c>
      <c r="D29" t="s">
        <v>17</v>
      </c>
      <c r="E29" t="s">
        <v>18</v>
      </c>
      <c r="F29" t="s">
        <v>15</v>
      </c>
      <c r="G29" t="s">
        <v>12</v>
      </c>
    </row>
    <row r="30" spans="1:7" x14ac:dyDescent="0.3">
      <c r="A30" s="1">
        <v>46169</v>
      </c>
      <c r="B30" t="s">
        <v>7</v>
      </c>
      <c r="C30" t="s">
        <v>8</v>
      </c>
      <c r="D30" t="s">
        <v>22</v>
      </c>
      <c r="E30" t="s">
        <v>10</v>
      </c>
      <c r="F30" t="s">
        <v>15</v>
      </c>
      <c r="G30" t="s">
        <v>12</v>
      </c>
    </row>
    <row r="31" spans="1:7" x14ac:dyDescent="0.3">
      <c r="A31" s="1">
        <v>46169</v>
      </c>
      <c r="B31" t="s">
        <v>7</v>
      </c>
      <c r="C31" t="s">
        <v>8</v>
      </c>
      <c r="D31" t="s">
        <v>23</v>
      </c>
      <c r="E31" t="s">
        <v>18</v>
      </c>
      <c r="F31" t="s">
        <v>15</v>
      </c>
      <c r="G31" t="s">
        <v>16</v>
      </c>
    </row>
    <row r="32" spans="1:7" x14ac:dyDescent="0.3">
      <c r="A32" s="1">
        <v>46169</v>
      </c>
      <c r="B32" t="s">
        <v>7</v>
      </c>
      <c r="C32" t="s">
        <v>8</v>
      </c>
      <c r="D32" t="s">
        <v>25</v>
      </c>
      <c r="E32" t="s">
        <v>18</v>
      </c>
      <c r="F32" t="s">
        <v>15</v>
      </c>
      <c r="G32" t="s">
        <v>16</v>
      </c>
    </row>
    <row r="33" spans="1:7" x14ac:dyDescent="0.3">
      <c r="A33" s="1">
        <v>46169</v>
      </c>
      <c r="B33" t="s">
        <v>7</v>
      </c>
      <c r="C33" t="s">
        <v>8</v>
      </c>
      <c r="D33" t="s">
        <v>17</v>
      </c>
      <c r="E33" t="s">
        <v>18</v>
      </c>
      <c r="F33" t="s">
        <v>15</v>
      </c>
      <c r="G33" t="s">
        <v>16</v>
      </c>
    </row>
    <row r="34" spans="1:7" x14ac:dyDescent="0.3">
      <c r="A34" s="1">
        <v>46169</v>
      </c>
      <c r="B34" t="s">
        <v>7</v>
      </c>
      <c r="C34" t="s">
        <v>8</v>
      </c>
      <c r="D34" t="s">
        <v>22</v>
      </c>
      <c r="E34" t="s">
        <v>18</v>
      </c>
      <c r="F34" t="s">
        <v>15</v>
      </c>
      <c r="G34" t="s">
        <v>16</v>
      </c>
    </row>
    <row r="35" spans="1:7" x14ac:dyDescent="0.3">
      <c r="A35" s="1">
        <v>46169</v>
      </c>
      <c r="B35" t="s">
        <v>29</v>
      </c>
      <c r="C35" t="s">
        <v>29</v>
      </c>
      <c r="D35" t="s">
        <v>32</v>
      </c>
      <c r="E35" t="s">
        <v>18</v>
      </c>
      <c r="F35" t="s">
        <v>33</v>
      </c>
      <c r="G35" t="s">
        <v>16</v>
      </c>
    </row>
    <row r="36" spans="1:7" x14ac:dyDescent="0.3">
      <c r="A36" s="1">
        <v>46169</v>
      </c>
      <c r="B36" t="s">
        <v>7</v>
      </c>
      <c r="C36" t="s">
        <v>8</v>
      </c>
      <c r="D36" t="s">
        <v>34</v>
      </c>
      <c r="E36" t="s">
        <v>18</v>
      </c>
      <c r="F36" t="s">
        <v>33</v>
      </c>
      <c r="G36" t="s">
        <v>12</v>
      </c>
    </row>
    <row r="37" spans="1:7" x14ac:dyDescent="0.3">
      <c r="A37" s="1">
        <v>46169</v>
      </c>
      <c r="B37" t="s">
        <v>7</v>
      </c>
      <c r="C37" t="s">
        <v>8</v>
      </c>
      <c r="D37" t="s">
        <v>22</v>
      </c>
      <c r="E37" t="s">
        <v>18</v>
      </c>
      <c r="F37" t="s">
        <v>33</v>
      </c>
      <c r="G37" t="s">
        <v>16</v>
      </c>
    </row>
    <row r="38" spans="1:7" x14ac:dyDescent="0.3">
      <c r="A38" s="1">
        <v>46169</v>
      </c>
      <c r="B38" t="s">
        <v>7</v>
      </c>
      <c r="C38" t="s">
        <v>8</v>
      </c>
      <c r="D38" t="s">
        <v>8</v>
      </c>
      <c r="E38" t="s">
        <v>35</v>
      </c>
      <c r="F38" t="s">
        <v>33</v>
      </c>
      <c r="G38" t="s">
        <v>16</v>
      </c>
    </row>
    <row r="39" spans="1:7" x14ac:dyDescent="0.3">
      <c r="A39" s="1">
        <v>46169</v>
      </c>
      <c r="B39" t="s">
        <v>7</v>
      </c>
      <c r="C39" t="s">
        <v>8</v>
      </c>
      <c r="D39" t="s">
        <v>8</v>
      </c>
      <c r="E39" t="s">
        <v>18</v>
      </c>
      <c r="F39" t="s">
        <v>33</v>
      </c>
      <c r="G39" t="s">
        <v>16</v>
      </c>
    </row>
    <row r="40" spans="1:7" x14ac:dyDescent="0.3">
      <c r="A40" s="1">
        <v>46169</v>
      </c>
      <c r="B40" t="s">
        <v>7</v>
      </c>
      <c r="C40" t="s">
        <v>8</v>
      </c>
      <c r="D40" t="s">
        <v>8</v>
      </c>
      <c r="E40" t="s">
        <v>18</v>
      </c>
      <c r="F40" t="s">
        <v>33</v>
      </c>
      <c r="G40" t="s">
        <v>12</v>
      </c>
    </row>
    <row r="41" spans="1:7" x14ac:dyDescent="0.3">
      <c r="A41" s="1">
        <v>46169</v>
      </c>
      <c r="B41" t="s">
        <v>7</v>
      </c>
      <c r="C41" t="s">
        <v>8</v>
      </c>
      <c r="D41" t="s">
        <v>36</v>
      </c>
      <c r="E41" t="s">
        <v>18</v>
      </c>
      <c r="F41" t="s">
        <v>33</v>
      </c>
      <c r="G41" t="s">
        <v>16</v>
      </c>
    </row>
    <row r="42" spans="1:7" x14ac:dyDescent="0.3">
      <c r="A42" s="1">
        <v>46169</v>
      </c>
      <c r="B42" t="s">
        <v>29</v>
      </c>
      <c r="C42" t="s">
        <v>37</v>
      </c>
      <c r="D42" t="s">
        <v>38</v>
      </c>
      <c r="E42" t="s">
        <v>18</v>
      </c>
      <c r="F42" t="s">
        <v>33</v>
      </c>
      <c r="G42" t="s">
        <v>12</v>
      </c>
    </row>
    <row r="43" spans="1:7" x14ac:dyDescent="0.3">
      <c r="A43" s="1">
        <v>46169</v>
      </c>
      <c r="B43" t="s">
        <v>7</v>
      </c>
      <c r="C43" t="s">
        <v>13</v>
      </c>
      <c r="D43" t="s">
        <v>39</v>
      </c>
      <c r="E43" t="s">
        <v>18</v>
      </c>
      <c r="F43" t="s">
        <v>33</v>
      </c>
      <c r="G43" t="s">
        <v>12</v>
      </c>
    </row>
    <row r="44" spans="1:7" x14ac:dyDescent="0.3">
      <c r="A44" s="1">
        <v>46169</v>
      </c>
      <c r="B44" t="s">
        <v>7</v>
      </c>
      <c r="C44" t="s">
        <v>8</v>
      </c>
      <c r="D44" t="s">
        <v>8</v>
      </c>
      <c r="E44" t="s">
        <v>18</v>
      </c>
      <c r="F44" t="s">
        <v>33</v>
      </c>
      <c r="G44" t="s">
        <v>12</v>
      </c>
    </row>
    <row r="45" spans="1:7" x14ac:dyDescent="0.3">
      <c r="A45" s="1">
        <v>46169</v>
      </c>
      <c r="B45" t="s">
        <v>29</v>
      </c>
      <c r="C45" t="s">
        <v>37</v>
      </c>
      <c r="D45" t="s">
        <v>40</v>
      </c>
      <c r="E45" t="s">
        <v>41</v>
      </c>
      <c r="F45" t="s">
        <v>33</v>
      </c>
      <c r="G45" t="s">
        <v>12</v>
      </c>
    </row>
    <row r="46" spans="1:7" x14ac:dyDescent="0.3">
      <c r="A46" s="1">
        <v>46169</v>
      </c>
      <c r="B46" t="s">
        <v>7</v>
      </c>
      <c r="C46" t="s">
        <v>8</v>
      </c>
      <c r="D46" t="s">
        <v>42</v>
      </c>
      <c r="E46" t="s">
        <v>10</v>
      </c>
      <c r="F46" t="s">
        <v>33</v>
      </c>
      <c r="G46" t="s">
        <v>12</v>
      </c>
    </row>
    <row r="47" spans="1:7" x14ac:dyDescent="0.3">
      <c r="A47" s="1">
        <v>46169</v>
      </c>
      <c r="B47" t="s">
        <v>7</v>
      </c>
      <c r="C47" t="s">
        <v>8</v>
      </c>
      <c r="D47" t="s">
        <v>17</v>
      </c>
      <c r="E47" t="s">
        <v>10</v>
      </c>
      <c r="F47" t="s">
        <v>33</v>
      </c>
      <c r="G47" t="s">
        <v>12</v>
      </c>
    </row>
    <row r="48" spans="1:7" x14ac:dyDescent="0.3">
      <c r="A48" s="1">
        <v>46169</v>
      </c>
      <c r="B48" t="s">
        <v>7</v>
      </c>
      <c r="C48" t="s">
        <v>8</v>
      </c>
      <c r="D48" t="s">
        <v>22</v>
      </c>
      <c r="E48" t="s">
        <v>10</v>
      </c>
      <c r="F48" t="s">
        <v>33</v>
      </c>
      <c r="G48" t="s">
        <v>16</v>
      </c>
    </row>
    <row r="49" spans="1:7" x14ac:dyDescent="0.3">
      <c r="A49" s="1">
        <v>46169</v>
      </c>
      <c r="B49" t="s">
        <v>7</v>
      </c>
      <c r="C49" t="s">
        <v>8</v>
      </c>
      <c r="D49" t="s">
        <v>8</v>
      </c>
      <c r="E49" t="s">
        <v>10</v>
      </c>
      <c r="F49" t="s">
        <v>33</v>
      </c>
      <c r="G49" t="s">
        <v>16</v>
      </c>
    </row>
    <row r="50" spans="1:7" x14ac:dyDescent="0.3">
      <c r="A50" s="1">
        <v>46169</v>
      </c>
      <c r="B50" t="s">
        <v>7</v>
      </c>
      <c r="C50" t="s">
        <v>8</v>
      </c>
      <c r="D50" t="s">
        <v>8</v>
      </c>
      <c r="E50" t="s">
        <v>18</v>
      </c>
      <c r="F50" t="s">
        <v>33</v>
      </c>
      <c r="G50" t="s">
        <v>16</v>
      </c>
    </row>
    <row r="51" spans="1:7" x14ac:dyDescent="0.3">
      <c r="A51" s="1">
        <v>46169</v>
      </c>
      <c r="B51" t="s">
        <v>7</v>
      </c>
      <c r="C51" t="s">
        <v>8</v>
      </c>
      <c r="D51" t="s">
        <v>17</v>
      </c>
      <c r="E51" t="s">
        <v>43</v>
      </c>
      <c r="F51" t="s">
        <v>33</v>
      </c>
      <c r="G51" t="s">
        <v>16</v>
      </c>
    </row>
    <row r="52" spans="1:7" x14ac:dyDescent="0.3">
      <c r="A52" s="1">
        <v>46169</v>
      </c>
      <c r="B52" t="s">
        <v>7</v>
      </c>
      <c r="C52" t="s">
        <v>26</v>
      </c>
      <c r="D52" t="s">
        <v>44</v>
      </c>
      <c r="E52" t="s">
        <v>41</v>
      </c>
      <c r="F52" t="s">
        <v>33</v>
      </c>
      <c r="G52" t="s">
        <v>12</v>
      </c>
    </row>
    <row r="53" spans="1:7" x14ac:dyDescent="0.3">
      <c r="A53" s="1">
        <v>46169</v>
      </c>
      <c r="B53" t="s">
        <v>7</v>
      </c>
      <c r="C53" t="s">
        <v>8</v>
      </c>
      <c r="D53" t="s">
        <v>17</v>
      </c>
      <c r="E53" t="s">
        <v>10</v>
      </c>
      <c r="F53" t="s">
        <v>33</v>
      </c>
      <c r="G53" t="s">
        <v>16</v>
      </c>
    </row>
    <row r="54" spans="1:7" x14ac:dyDescent="0.3">
      <c r="A54" s="1">
        <v>46169</v>
      </c>
      <c r="B54" t="s">
        <v>7</v>
      </c>
      <c r="C54" t="s">
        <v>8</v>
      </c>
      <c r="D54" t="s">
        <v>22</v>
      </c>
      <c r="E54" t="s">
        <v>45</v>
      </c>
      <c r="F54" t="s">
        <v>33</v>
      </c>
      <c r="G54" t="s">
        <v>16</v>
      </c>
    </row>
    <row r="55" spans="1:7" x14ac:dyDescent="0.3">
      <c r="A55" s="1">
        <v>46169</v>
      </c>
      <c r="B55" t="s">
        <v>7</v>
      </c>
      <c r="C55" t="s">
        <v>8</v>
      </c>
      <c r="D55" t="s">
        <v>22</v>
      </c>
      <c r="E55" t="s">
        <v>10</v>
      </c>
      <c r="F55" t="s">
        <v>33</v>
      </c>
      <c r="G55" t="s">
        <v>12</v>
      </c>
    </row>
    <row r="56" spans="1:7" x14ac:dyDescent="0.3">
      <c r="A56" s="1">
        <v>46169</v>
      </c>
      <c r="B56" t="s">
        <v>7</v>
      </c>
      <c r="C56" t="s">
        <v>7</v>
      </c>
      <c r="D56" t="s">
        <v>7</v>
      </c>
      <c r="E56" t="s">
        <v>18</v>
      </c>
      <c r="F56" t="s">
        <v>33</v>
      </c>
      <c r="G56" t="s">
        <v>16</v>
      </c>
    </row>
    <row r="57" spans="1:7" x14ac:dyDescent="0.3">
      <c r="A57" s="1">
        <v>46169</v>
      </c>
      <c r="B57" t="s">
        <v>46</v>
      </c>
      <c r="C57" t="s">
        <v>46</v>
      </c>
      <c r="D57" t="s">
        <v>47</v>
      </c>
      <c r="E57" t="s">
        <v>18</v>
      </c>
      <c r="F57" t="s">
        <v>33</v>
      </c>
      <c r="G57" t="s">
        <v>12</v>
      </c>
    </row>
    <row r="58" spans="1:7" x14ac:dyDescent="0.3">
      <c r="A58" s="1">
        <v>46169</v>
      </c>
      <c r="B58" t="s">
        <v>7</v>
      </c>
      <c r="C58" t="s">
        <v>8</v>
      </c>
      <c r="D58" t="s">
        <v>8</v>
      </c>
      <c r="E58" t="s">
        <v>10</v>
      </c>
      <c r="F58" t="s">
        <v>33</v>
      </c>
      <c r="G58" t="s">
        <v>12</v>
      </c>
    </row>
    <row r="59" spans="1:7" x14ac:dyDescent="0.3">
      <c r="A59" s="1">
        <v>46169</v>
      </c>
      <c r="B59" t="s">
        <v>7</v>
      </c>
      <c r="C59" t="s">
        <v>8</v>
      </c>
      <c r="D59" t="s">
        <v>17</v>
      </c>
      <c r="E59" t="s">
        <v>10</v>
      </c>
      <c r="F59" t="s">
        <v>33</v>
      </c>
      <c r="G59" t="s">
        <v>12</v>
      </c>
    </row>
    <row r="60" spans="1:7" x14ac:dyDescent="0.3">
      <c r="A60" s="1">
        <v>46169</v>
      </c>
      <c r="B60" t="s">
        <v>7</v>
      </c>
      <c r="C60" t="s">
        <v>8</v>
      </c>
      <c r="D60" t="s">
        <v>17</v>
      </c>
      <c r="E60" t="s">
        <v>10</v>
      </c>
      <c r="F60" t="s">
        <v>33</v>
      </c>
      <c r="G60" t="s">
        <v>12</v>
      </c>
    </row>
    <row r="61" spans="1:7" x14ac:dyDescent="0.3">
      <c r="A61" s="1">
        <v>46169</v>
      </c>
      <c r="B61" t="s">
        <v>7</v>
      </c>
      <c r="C61" t="s">
        <v>8</v>
      </c>
      <c r="D61" t="s">
        <v>8</v>
      </c>
      <c r="E61" t="s">
        <v>18</v>
      </c>
      <c r="F61" t="s">
        <v>33</v>
      </c>
      <c r="G61" t="s">
        <v>16</v>
      </c>
    </row>
    <row r="62" spans="1:7" x14ac:dyDescent="0.3">
      <c r="A62" s="1">
        <v>46169</v>
      </c>
      <c r="B62" t="s">
        <v>7</v>
      </c>
      <c r="C62" t="s">
        <v>8</v>
      </c>
      <c r="D62" t="s">
        <v>8</v>
      </c>
      <c r="E62" t="s">
        <v>18</v>
      </c>
      <c r="F62" t="s">
        <v>33</v>
      </c>
      <c r="G62" t="s">
        <v>16</v>
      </c>
    </row>
    <row r="63" spans="1:7" x14ac:dyDescent="0.3">
      <c r="A63" s="1">
        <v>46169</v>
      </c>
      <c r="B63" t="s">
        <v>7</v>
      </c>
      <c r="C63" t="s">
        <v>8</v>
      </c>
      <c r="D63" t="s">
        <v>42</v>
      </c>
      <c r="E63" t="s">
        <v>10</v>
      </c>
      <c r="F63" t="s">
        <v>33</v>
      </c>
      <c r="G63" t="s">
        <v>16</v>
      </c>
    </row>
    <row r="64" spans="1:7" x14ac:dyDescent="0.3">
      <c r="A64" s="1">
        <v>46169</v>
      </c>
      <c r="B64" t="s">
        <v>7</v>
      </c>
      <c r="C64" t="s">
        <v>8</v>
      </c>
      <c r="D64" t="s">
        <v>22</v>
      </c>
      <c r="E64" t="s">
        <v>18</v>
      </c>
      <c r="F64" t="s">
        <v>33</v>
      </c>
      <c r="G64" t="s">
        <v>12</v>
      </c>
    </row>
    <row r="65" spans="1:7" x14ac:dyDescent="0.3">
      <c r="A65" s="1">
        <v>46169</v>
      </c>
      <c r="B65" t="s">
        <v>7</v>
      </c>
      <c r="C65" t="s">
        <v>48</v>
      </c>
      <c r="D65" t="s">
        <v>49</v>
      </c>
      <c r="E65" t="s">
        <v>18</v>
      </c>
      <c r="F65" t="s">
        <v>33</v>
      </c>
      <c r="G65" t="s">
        <v>16</v>
      </c>
    </row>
    <row r="66" spans="1:7" x14ac:dyDescent="0.3">
      <c r="A66" s="1">
        <v>46169</v>
      </c>
      <c r="B66" t="s">
        <v>7</v>
      </c>
      <c r="C66" t="s">
        <v>8</v>
      </c>
      <c r="D66" t="s">
        <v>22</v>
      </c>
      <c r="E66" t="s">
        <v>10</v>
      </c>
      <c r="F66" t="s">
        <v>33</v>
      </c>
      <c r="G66" t="s">
        <v>16</v>
      </c>
    </row>
    <row r="67" spans="1:7" x14ac:dyDescent="0.3">
      <c r="A67" s="1">
        <v>46169</v>
      </c>
      <c r="B67" t="s">
        <v>50</v>
      </c>
      <c r="C67" t="s">
        <v>51</v>
      </c>
      <c r="D67" t="s">
        <v>52</v>
      </c>
      <c r="E67" t="s">
        <v>18</v>
      </c>
      <c r="F67" t="s">
        <v>33</v>
      </c>
      <c r="G67" t="s">
        <v>12</v>
      </c>
    </row>
    <row r="68" spans="1:7" x14ac:dyDescent="0.3">
      <c r="A68" s="1">
        <v>46169</v>
      </c>
      <c r="B68" t="s">
        <v>7</v>
      </c>
      <c r="C68" t="s">
        <v>8</v>
      </c>
      <c r="D68" t="s">
        <v>8</v>
      </c>
      <c r="E68" t="s">
        <v>18</v>
      </c>
      <c r="F68" t="s">
        <v>33</v>
      </c>
      <c r="G68" t="s">
        <v>16</v>
      </c>
    </row>
    <row r="69" spans="1:7" x14ac:dyDescent="0.3">
      <c r="A69" s="1">
        <v>46169</v>
      </c>
      <c r="B69" t="s">
        <v>7</v>
      </c>
      <c r="C69" t="s">
        <v>8</v>
      </c>
      <c r="D69" t="s">
        <v>17</v>
      </c>
      <c r="E69" t="s">
        <v>18</v>
      </c>
      <c r="F69" t="s">
        <v>33</v>
      </c>
      <c r="G69" t="s">
        <v>16</v>
      </c>
    </row>
    <row r="70" spans="1:7" x14ac:dyDescent="0.3">
      <c r="A70" s="1">
        <v>46169</v>
      </c>
      <c r="B70" t="s">
        <v>7</v>
      </c>
      <c r="C70" t="s">
        <v>8</v>
      </c>
      <c r="D70" t="s">
        <v>8</v>
      </c>
      <c r="E70" t="s">
        <v>18</v>
      </c>
      <c r="F70" t="s">
        <v>33</v>
      </c>
      <c r="G70" t="s">
        <v>16</v>
      </c>
    </row>
    <row r="71" spans="1:7" x14ac:dyDescent="0.3">
      <c r="A71" s="1">
        <v>46169</v>
      </c>
      <c r="B71" t="s">
        <v>7</v>
      </c>
      <c r="C71" t="s">
        <v>13</v>
      </c>
      <c r="D71" t="s">
        <v>53</v>
      </c>
      <c r="E71" t="s">
        <v>41</v>
      </c>
      <c r="F71" t="s">
        <v>33</v>
      </c>
      <c r="G71" t="s">
        <v>12</v>
      </c>
    </row>
    <row r="72" spans="1:7" x14ac:dyDescent="0.3">
      <c r="A72" s="1">
        <v>46169</v>
      </c>
      <c r="B72" t="s">
        <v>7</v>
      </c>
      <c r="C72" t="s">
        <v>8</v>
      </c>
      <c r="D72" t="s">
        <v>8</v>
      </c>
      <c r="E72" t="s">
        <v>18</v>
      </c>
      <c r="F72" t="s">
        <v>33</v>
      </c>
      <c r="G72" t="s">
        <v>12</v>
      </c>
    </row>
    <row r="73" spans="1:7" x14ac:dyDescent="0.3">
      <c r="A73" s="1">
        <v>46169</v>
      </c>
      <c r="B73" t="s">
        <v>7</v>
      </c>
      <c r="C73" t="s">
        <v>8</v>
      </c>
      <c r="D73" t="s">
        <v>17</v>
      </c>
      <c r="E73" t="s">
        <v>10</v>
      </c>
      <c r="F73" t="s">
        <v>33</v>
      </c>
      <c r="G73" t="s">
        <v>16</v>
      </c>
    </row>
    <row r="74" spans="1:7" x14ac:dyDescent="0.3">
      <c r="A74" s="1">
        <v>46169</v>
      </c>
      <c r="B74" t="s">
        <v>7</v>
      </c>
      <c r="C74" t="s">
        <v>8</v>
      </c>
      <c r="D74" t="s">
        <v>54</v>
      </c>
      <c r="E74" t="s">
        <v>41</v>
      </c>
      <c r="F74" t="s">
        <v>33</v>
      </c>
      <c r="G74" t="s">
        <v>16</v>
      </c>
    </row>
    <row r="75" spans="1:7" x14ac:dyDescent="0.3">
      <c r="A75" s="1">
        <v>46169</v>
      </c>
      <c r="B75" t="s">
        <v>7</v>
      </c>
      <c r="C75" t="s">
        <v>19</v>
      </c>
      <c r="D75" t="s">
        <v>19</v>
      </c>
      <c r="E75" t="s">
        <v>18</v>
      </c>
      <c r="F75" t="s">
        <v>55</v>
      </c>
      <c r="G75" t="s">
        <v>16</v>
      </c>
    </row>
    <row r="76" spans="1:7" x14ac:dyDescent="0.3">
      <c r="A76" s="1">
        <v>46169</v>
      </c>
      <c r="B76" t="s">
        <v>7</v>
      </c>
      <c r="C76" t="s">
        <v>8</v>
      </c>
      <c r="D76" t="s">
        <v>17</v>
      </c>
      <c r="E76" t="s">
        <v>18</v>
      </c>
      <c r="F76" t="s">
        <v>55</v>
      </c>
      <c r="G76" t="s">
        <v>16</v>
      </c>
    </row>
    <row r="77" spans="1:7" x14ac:dyDescent="0.3">
      <c r="A77" s="1">
        <v>46169</v>
      </c>
      <c r="B77" t="s">
        <v>7</v>
      </c>
      <c r="C77" t="s">
        <v>26</v>
      </c>
      <c r="D77" t="s">
        <v>26</v>
      </c>
      <c r="E77" t="s">
        <v>18</v>
      </c>
      <c r="F77" t="s">
        <v>55</v>
      </c>
      <c r="G77" t="s">
        <v>12</v>
      </c>
    </row>
    <row r="78" spans="1:7" x14ac:dyDescent="0.3">
      <c r="A78" s="1">
        <v>46169</v>
      </c>
      <c r="B78" t="s">
        <v>7</v>
      </c>
      <c r="C78" t="s">
        <v>8</v>
      </c>
      <c r="D78" t="s">
        <v>25</v>
      </c>
      <c r="E78" t="s">
        <v>18</v>
      </c>
      <c r="F78" t="s">
        <v>55</v>
      </c>
      <c r="G78" t="s">
        <v>16</v>
      </c>
    </row>
    <row r="79" spans="1:7" x14ac:dyDescent="0.3">
      <c r="A79" s="1">
        <v>46169</v>
      </c>
      <c r="B79" t="s">
        <v>7</v>
      </c>
      <c r="C79" t="s">
        <v>8</v>
      </c>
      <c r="D79" t="s">
        <v>24</v>
      </c>
      <c r="E79" t="s">
        <v>10</v>
      </c>
      <c r="F79" t="s">
        <v>55</v>
      </c>
      <c r="G79" t="s">
        <v>16</v>
      </c>
    </row>
    <row r="80" spans="1:7" x14ac:dyDescent="0.3">
      <c r="A80" s="1">
        <v>46169</v>
      </c>
      <c r="B80" t="s">
        <v>7</v>
      </c>
      <c r="C80" t="s">
        <v>8</v>
      </c>
      <c r="D80" t="s">
        <v>17</v>
      </c>
      <c r="E80" t="s">
        <v>18</v>
      </c>
      <c r="F80" t="s">
        <v>55</v>
      </c>
      <c r="G80" t="s">
        <v>12</v>
      </c>
    </row>
    <row r="81" spans="1:7" x14ac:dyDescent="0.3">
      <c r="A81" s="1">
        <v>46169</v>
      </c>
      <c r="B81" t="s">
        <v>7</v>
      </c>
      <c r="C81" t="s">
        <v>8</v>
      </c>
      <c r="D81" t="s">
        <v>22</v>
      </c>
      <c r="E81" t="s">
        <v>18</v>
      </c>
      <c r="F81" t="s">
        <v>55</v>
      </c>
      <c r="G81" t="s">
        <v>12</v>
      </c>
    </row>
    <row r="82" spans="1:7" x14ac:dyDescent="0.3">
      <c r="A82" s="1">
        <v>46169</v>
      </c>
      <c r="B82" t="s">
        <v>29</v>
      </c>
      <c r="C82" t="s">
        <v>29</v>
      </c>
      <c r="D82" t="s">
        <v>56</v>
      </c>
      <c r="E82" t="s">
        <v>10</v>
      </c>
      <c r="F82" t="s">
        <v>55</v>
      </c>
      <c r="G82" t="s">
        <v>12</v>
      </c>
    </row>
    <row r="83" spans="1:7" x14ac:dyDescent="0.3">
      <c r="A83" s="1">
        <v>46169</v>
      </c>
      <c r="B83" t="s">
        <v>7</v>
      </c>
      <c r="C83" t="s">
        <v>19</v>
      </c>
      <c r="D83" t="s">
        <v>57</v>
      </c>
      <c r="E83" t="s">
        <v>18</v>
      </c>
      <c r="F83" t="s">
        <v>55</v>
      </c>
      <c r="G83" t="s">
        <v>16</v>
      </c>
    </row>
    <row r="84" spans="1:7" x14ac:dyDescent="0.3">
      <c r="A84" s="1">
        <v>46169</v>
      </c>
      <c r="B84" t="s">
        <v>7</v>
      </c>
      <c r="C84" t="s">
        <v>8</v>
      </c>
      <c r="D84" t="s">
        <v>25</v>
      </c>
      <c r="E84" t="s">
        <v>10</v>
      </c>
      <c r="F84" t="s">
        <v>55</v>
      </c>
      <c r="G84" t="s">
        <v>16</v>
      </c>
    </row>
    <row r="85" spans="1:7" x14ac:dyDescent="0.3">
      <c r="A85" s="1">
        <v>46169</v>
      </c>
      <c r="B85" t="s">
        <v>7</v>
      </c>
      <c r="C85" t="s">
        <v>8</v>
      </c>
      <c r="D85" t="s">
        <v>24</v>
      </c>
      <c r="E85" t="s">
        <v>18</v>
      </c>
      <c r="F85" t="s">
        <v>55</v>
      </c>
      <c r="G85" t="s">
        <v>16</v>
      </c>
    </row>
    <row r="86" spans="1:7" x14ac:dyDescent="0.3">
      <c r="A86" s="1">
        <v>46169</v>
      </c>
      <c r="B86" t="s">
        <v>7</v>
      </c>
      <c r="C86" t="s">
        <v>8</v>
      </c>
      <c r="D86" t="s">
        <v>17</v>
      </c>
      <c r="E86" t="s">
        <v>18</v>
      </c>
      <c r="F86" t="s">
        <v>55</v>
      </c>
      <c r="G86" t="s">
        <v>16</v>
      </c>
    </row>
    <row r="87" spans="1:7" x14ac:dyDescent="0.3">
      <c r="A87" s="1">
        <v>46169</v>
      </c>
      <c r="B87" t="s">
        <v>7</v>
      </c>
      <c r="C87" t="s">
        <v>13</v>
      </c>
      <c r="D87" t="s">
        <v>58</v>
      </c>
      <c r="E87" t="s">
        <v>18</v>
      </c>
      <c r="F87" t="s">
        <v>55</v>
      </c>
      <c r="G87" t="s">
        <v>12</v>
      </c>
    </row>
    <row r="88" spans="1:7" x14ac:dyDescent="0.3">
      <c r="A88" s="1">
        <v>46169</v>
      </c>
      <c r="B88" t="s">
        <v>7</v>
      </c>
      <c r="C88" t="s">
        <v>8</v>
      </c>
      <c r="D88" t="s">
        <v>22</v>
      </c>
      <c r="E88" t="s">
        <v>18</v>
      </c>
      <c r="F88" t="s">
        <v>55</v>
      </c>
      <c r="G88" t="s">
        <v>12</v>
      </c>
    </row>
    <row r="89" spans="1:7" x14ac:dyDescent="0.3">
      <c r="A89" s="1">
        <v>46169</v>
      </c>
      <c r="B89" t="s">
        <v>29</v>
      </c>
      <c r="C89" t="s">
        <v>29</v>
      </c>
      <c r="D89" t="s">
        <v>59</v>
      </c>
      <c r="E89" t="s">
        <v>18</v>
      </c>
      <c r="F89" t="s">
        <v>55</v>
      </c>
      <c r="G89" t="s">
        <v>16</v>
      </c>
    </row>
    <row r="90" spans="1:7" x14ac:dyDescent="0.3">
      <c r="A90" s="1">
        <v>46169</v>
      </c>
      <c r="B90" t="s">
        <v>7</v>
      </c>
      <c r="C90" t="s">
        <v>8</v>
      </c>
      <c r="D90" t="s">
        <v>8</v>
      </c>
      <c r="E90" t="s">
        <v>18</v>
      </c>
      <c r="F90" t="s">
        <v>55</v>
      </c>
      <c r="G90" t="s">
        <v>12</v>
      </c>
    </row>
    <row r="91" spans="1:7" x14ac:dyDescent="0.3">
      <c r="A91" s="1">
        <v>46169</v>
      </c>
      <c r="B91" t="s">
        <v>7</v>
      </c>
      <c r="C91" t="s">
        <v>8</v>
      </c>
      <c r="D91" t="s">
        <v>8</v>
      </c>
      <c r="E91" t="s">
        <v>18</v>
      </c>
      <c r="F91" t="s">
        <v>55</v>
      </c>
      <c r="G91" t="s">
        <v>16</v>
      </c>
    </row>
    <row r="92" spans="1:7" x14ac:dyDescent="0.3">
      <c r="A92" s="1">
        <v>46169</v>
      </c>
      <c r="B92" t="s">
        <v>7</v>
      </c>
      <c r="C92" t="s">
        <v>8</v>
      </c>
      <c r="D92" t="s">
        <v>22</v>
      </c>
      <c r="E92" t="s">
        <v>18</v>
      </c>
      <c r="F92" t="s">
        <v>55</v>
      </c>
      <c r="G92" t="s">
        <v>12</v>
      </c>
    </row>
    <row r="93" spans="1:7" x14ac:dyDescent="0.3">
      <c r="A93" s="1">
        <v>46169</v>
      </c>
      <c r="B93" t="s">
        <v>7</v>
      </c>
      <c r="C93" t="s">
        <v>8</v>
      </c>
      <c r="D93" t="s">
        <v>17</v>
      </c>
      <c r="E93" t="s">
        <v>18</v>
      </c>
      <c r="F93" t="s">
        <v>55</v>
      </c>
      <c r="G93" t="s">
        <v>12</v>
      </c>
    </row>
    <row r="94" spans="1:7" x14ac:dyDescent="0.3">
      <c r="A94" s="1">
        <v>46169</v>
      </c>
      <c r="B94" t="s">
        <v>7</v>
      </c>
      <c r="C94" t="s">
        <v>8</v>
      </c>
      <c r="D94" t="s">
        <v>8</v>
      </c>
      <c r="E94" t="s">
        <v>10</v>
      </c>
      <c r="F94" t="s">
        <v>55</v>
      </c>
      <c r="G94" t="s">
        <v>16</v>
      </c>
    </row>
    <row r="95" spans="1:7" x14ac:dyDescent="0.3">
      <c r="A95" s="1">
        <v>46169</v>
      </c>
      <c r="B95" t="s">
        <v>7</v>
      </c>
      <c r="C95" t="s">
        <v>19</v>
      </c>
      <c r="D95" t="s">
        <v>60</v>
      </c>
      <c r="E95" t="s">
        <v>41</v>
      </c>
      <c r="F95" t="s">
        <v>55</v>
      </c>
      <c r="G95" t="s">
        <v>12</v>
      </c>
    </row>
    <row r="96" spans="1:7" x14ac:dyDescent="0.3">
      <c r="A96" s="1">
        <v>46169</v>
      </c>
      <c r="B96" t="s">
        <v>7</v>
      </c>
      <c r="C96" t="s">
        <v>8</v>
      </c>
      <c r="D96" t="s">
        <v>17</v>
      </c>
      <c r="E96" t="s">
        <v>10</v>
      </c>
      <c r="F96" t="s">
        <v>55</v>
      </c>
      <c r="G96" t="s">
        <v>12</v>
      </c>
    </row>
    <row r="97" spans="1:7" x14ac:dyDescent="0.3">
      <c r="A97" s="1">
        <v>46169</v>
      </c>
      <c r="B97" t="s">
        <v>7</v>
      </c>
      <c r="C97" t="s">
        <v>8</v>
      </c>
      <c r="D97" t="s">
        <v>24</v>
      </c>
      <c r="E97" t="s">
        <v>18</v>
      </c>
      <c r="F97" t="s">
        <v>55</v>
      </c>
      <c r="G97" t="s">
        <v>16</v>
      </c>
    </row>
    <row r="98" spans="1:7" x14ac:dyDescent="0.3">
      <c r="A98" s="1">
        <v>46169</v>
      </c>
      <c r="B98" t="s">
        <v>7</v>
      </c>
      <c r="C98" t="s">
        <v>8</v>
      </c>
      <c r="D98" t="s">
        <v>8</v>
      </c>
      <c r="E98" t="s">
        <v>18</v>
      </c>
      <c r="F98" t="s">
        <v>55</v>
      </c>
      <c r="G98" t="s">
        <v>16</v>
      </c>
    </row>
    <row r="99" spans="1:7" x14ac:dyDescent="0.3">
      <c r="A99" s="1">
        <v>46169</v>
      </c>
      <c r="B99" t="s">
        <v>7</v>
      </c>
      <c r="C99" t="s">
        <v>8</v>
      </c>
      <c r="D99" t="s">
        <v>8</v>
      </c>
      <c r="E99" t="s">
        <v>10</v>
      </c>
      <c r="F99" t="s">
        <v>55</v>
      </c>
      <c r="G99" t="s">
        <v>12</v>
      </c>
    </row>
    <row r="100" spans="1:7" x14ac:dyDescent="0.3">
      <c r="A100" s="1">
        <v>46169</v>
      </c>
      <c r="B100" t="s">
        <v>7</v>
      </c>
      <c r="C100" t="s">
        <v>8</v>
      </c>
      <c r="D100" t="s">
        <v>17</v>
      </c>
      <c r="E100" t="s">
        <v>10</v>
      </c>
      <c r="F100" t="s">
        <v>55</v>
      </c>
      <c r="G100" t="s">
        <v>16</v>
      </c>
    </row>
    <row r="101" spans="1:7" x14ac:dyDescent="0.3">
      <c r="A101" s="1">
        <v>46169</v>
      </c>
      <c r="B101" t="s">
        <v>7</v>
      </c>
      <c r="C101" t="s">
        <v>8</v>
      </c>
      <c r="D101" t="s">
        <v>8</v>
      </c>
      <c r="E101" t="s">
        <v>10</v>
      </c>
      <c r="F101" t="s">
        <v>55</v>
      </c>
      <c r="G101" t="s">
        <v>12</v>
      </c>
    </row>
    <row r="102" spans="1:7" x14ac:dyDescent="0.3">
      <c r="A102" s="1">
        <v>46169</v>
      </c>
      <c r="B102" t="s">
        <v>7</v>
      </c>
      <c r="C102" t="s">
        <v>8</v>
      </c>
      <c r="D102" t="s">
        <v>17</v>
      </c>
      <c r="E102" t="s">
        <v>18</v>
      </c>
      <c r="F102" t="s">
        <v>55</v>
      </c>
      <c r="G102" t="s">
        <v>12</v>
      </c>
    </row>
    <row r="103" spans="1:7" x14ac:dyDescent="0.3">
      <c r="A103" s="1">
        <v>46169</v>
      </c>
      <c r="B103" t="s">
        <v>7</v>
      </c>
      <c r="C103" t="s">
        <v>26</v>
      </c>
      <c r="D103" t="s">
        <v>26</v>
      </c>
      <c r="E103" t="s">
        <v>18</v>
      </c>
      <c r="F103" t="s">
        <v>55</v>
      </c>
      <c r="G103" t="s">
        <v>16</v>
      </c>
    </row>
    <row r="104" spans="1:7" x14ac:dyDescent="0.3">
      <c r="A104" s="1">
        <v>46169</v>
      </c>
      <c r="B104" t="s">
        <v>7</v>
      </c>
      <c r="C104" t="s">
        <v>8</v>
      </c>
      <c r="D104" t="s">
        <v>42</v>
      </c>
      <c r="E104" t="s">
        <v>10</v>
      </c>
      <c r="F104" t="s">
        <v>55</v>
      </c>
      <c r="G104" t="s">
        <v>16</v>
      </c>
    </row>
    <row r="105" spans="1:7" x14ac:dyDescent="0.3">
      <c r="A105" s="1">
        <v>46169</v>
      </c>
      <c r="B105" t="s">
        <v>29</v>
      </c>
      <c r="C105" t="s">
        <v>37</v>
      </c>
      <c r="D105" t="s">
        <v>40</v>
      </c>
      <c r="E105" t="s">
        <v>41</v>
      </c>
      <c r="F105" t="s">
        <v>55</v>
      </c>
      <c r="G105" t="s">
        <v>12</v>
      </c>
    </row>
    <row r="106" spans="1:7" x14ac:dyDescent="0.3">
      <c r="A106" s="1">
        <v>46169</v>
      </c>
      <c r="B106" t="s">
        <v>7</v>
      </c>
      <c r="C106" t="s">
        <v>8</v>
      </c>
      <c r="D106" t="s">
        <v>22</v>
      </c>
      <c r="E106" t="s">
        <v>10</v>
      </c>
      <c r="F106" t="s">
        <v>55</v>
      </c>
      <c r="G106" t="s">
        <v>12</v>
      </c>
    </row>
    <row r="107" spans="1:7" x14ac:dyDescent="0.3">
      <c r="A107" s="1">
        <v>46169</v>
      </c>
      <c r="B107" t="s">
        <v>7</v>
      </c>
      <c r="C107" t="s">
        <v>8</v>
      </c>
      <c r="D107" t="s">
        <v>22</v>
      </c>
      <c r="E107" t="s">
        <v>18</v>
      </c>
      <c r="F107" t="s">
        <v>55</v>
      </c>
      <c r="G107" t="s">
        <v>16</v>
      </c>
    </row>
    <row r="108" spans="1:7" x14ac:dyDescent="0.3">
      <c r="A108" s="1">
        <v>46169</v>
      </c>
      <c r="B108" t="s">
        <v>7</v>
      </c>
      <c r="C108" t="s">
        <v>8</v>
      </c>
      <c r="D108" t="s">
        <v>22</v>
      </c>
      <c r="E108" t="s">
        <v>18</v>
      </c>
      <c r="F108" t="s">
        <v>55</v>
      </c>
      <c r="G108" t="s">
        <v>16</v>
      </c>
    </row>
    <row r="109" spans="1:7" x14ac:dyDescent="0.3">
      <c r="A109" s="1">
        <v>46169</v>
      </c>
      <c r="B109" t="s">
        <v>7</v>
      </c>
      <c r="C109" t="s">
        <v>61</v>
      </c>
      <c r="D109" t="s">
        <v>61</v>
      </c>
      <c r="E109" t="s">
        <v>18</v>
      </c>
      <c r="F109" t="s">
        <v>55</v>
      </c>
      <c r="G109" t="s">
        <v>12</v>
      </c>
    </row>
    <row r="110" spans="1:7" x14ac:dyDescent="0.3">
      <c r="A110" s="1">
        <v>46169</v>
      </c>
      <c r="B110" t="s">
        <v>7</v>
      </c>
      <c r="C110" t="s">
        <v>8</v>
      </c>
      <c r="D110" t="s">
        <v>8</v>
      </c>
      <c r="E110" t="s">
        <v>18</v>
      </c>
      <c r="F110" t="s">
        <v>55</v>
      </c>
      <c r="G110" t="s">
        <v>12</v>
      </c>
    </row>
    <row r="111" spans="1:7" x14ac:dyDescent="0.3">
      <c r="A111" s="1">
        <v>46169</v>
      </c>
      <c r="B111" t="s">
        <v>7</v>
      </c>
      <c r="C111" t="s">
        <v>8</v>
      </c>
      <c r="D111" t="s">
        <v>22</v>
      </c>
      <c r="E111" t="s">
        <v>18</v>
      </c>
      <c r="F111" t="s">
        <v>55</v>
      </c>
      <c r="G111" t="s">
        <v>12</v>
      </c>
    </row>
    <row r="112" spans="1:7" x14ac:dyDescent="0.3">
      <c r="A112" s="1">
        <v>46169</v>
      </c>
      <c r="B112" t="s">
        <v>7</v>
      </c>
      <c r="C112" t="s">
        <v>62</v>
      </c>
      <c r="D112" t="s">
        <v>63</v>
      </c>
      <c r="E112" t="s">
        <v>18</v>
      </c>
      <c r="F112" t="s">
        <v>55</v>
      </c>
      <c r="G112" t="s">
        <v>16</v>
      </c>
    </row>
    <row r="113" spans="1:7" x14ac:dyDescent="0.3">
      <c r="A113" s="1">
        <v>46169</v>
      </c>
      <c r="B113" t="s">
        <v>29</v>
      </c>
      <c r="C113" t="s">
        <v>64</v>
      </c>
      <c r="D113" t="s">
        <v>65</v>
      </c>
      <c r="E113" t="s">
        <v>10</v>
      </c>
      <c r="F113" t="s">
        <v>55</v>
      </c>
      <c r="G113" t="s">
        <v>12</v>
      </c>
    </row>
    <row r="114" spans="1:7" x14ac:dyDescent="0.3">
      <c r="A114" s="1">
        <v>46169</v>
      </c>
      <c r="B114" t="s">
        <v>7</v>
      </c>
      <c r="C114" t="s">
        <v>61</v>
      </c>
      <c r="D114" t="s">
        <v>66</v>
      </c>
      <c r="E114" t="s">
        <v>18</v>
      </c>
      <c r="F114" t="s">
        <v>55</v>
      </c>
      <c r="G114" t="s">
        <v>16</v>
      </c>
    </row>
    <row r="115" spans="1:7" x14ac:dyDescent="0.3">
      <c r="A115" s="1">
        <v>46169</v>
      </c>
      <c r="B115" t="s">
        <v>7</v>
      </c>
      <c r="C115" t="s">
        <v>8</v>
      </c>
      <c r="D115" t="s">
        <v>8</v>
      </c>
      <c r="E115" t="s">
        <v>18</v>
      </c>
      <c r="F115" t="s">
        <v>55</v>
      </c>
      <c r="G115" t="s">
        <v>12</v>
      </c>
    </row>
    <row r="116" spans="1:7" x14ac:dyDescent="0.3">
      <c r="A116" s="1">
        <v>46169</v>
      </c>
      <c r="B116" t="s">
        <v>7</v>
      </c>
      <c r="C116" t="s">
        <v>13</v>
      </c>
      <c r="D116" t="s">
        <v>13</v>
      </c>
      <c r="E116" t="s">
        <v>18</v>
      </c>
      <c r="F116" t="s">
        <v>55</v>
      </c>
      <c r="G116" t="s">
        <v>12</v>
      </c>
    </row>
    <row r="117" spans="1:7" x14ac:dyDescent="0.3">
      <c r="A117" s="1">
        <v>46169</v>
      </c>
      <c r="B117" t="s">
        <v>7</v>
      </c>
      <c r="C117" t="s">
        <v>8</v>
      </c>
      <c r="D117" t="s">
        <v>17</v>
      </c>
      <c r="E117" t="s">
        <v>10</v>
      </c>
      <c r="F117" t="s">
        <v>55</v>
      </c>
      <c r="G117" t="s">
        <v>16</v>
      </c>
    </row>
    <row r="118" spans="1:7" x14ac:dyDescent="0.3">
      <c r="A118" s="1">
        <v>46169</v>
      </c>
      <c r="B118" t="s">
        <v>7</v>
      </c>
      <c r="C118" t="s">
        <v>13</v>
      </c>
      <c r="D118" t="s">
        <v>67</v>
      </c>
      <c r="E118" t="s">
        <v>18</v>
      </c>
      <c r="F118" t="s">
        <v>55</v>
      </c>
      <c r="G118" t="s">
        <v>12</v>
      </c>
    </row>
    <row r="119" spans="1:7" x14ac:dyDescent="0.3">
      <c r="A119" s="1">
        <v>46169</v>
      </c>
      <c r="B119" t="s">
        <v>7</v>
      </c>
      <c r="C119" t="s">
        <v>8</v>
      </c>
      <c r="D119" t="s">
        <v>22</v>
      </c>
      <c r="E119" t="s">
        <v>10</v>
      </c>
      <c r="F119" t="s">
        <v>55</v>
      </c>
      <c r="G119" t="s">
        <v>12</v>
      </c>
    </row>
    <row r="120" spans="1:7" x14ac:dyDescent="0.3">
      <c r="A120" s="1">
        <v>46169</v>
      </c>
      <c r="B120" t="s">
        <v>7</v>
      </c>
      <c r="C120" t="s">
        <v>8</v>
      </c>
      <c r="D120" t="s">
        <v>17</v>
      </c>
      <c r="E120" t="s">
        <v>10</v>
      </c>
      <c r="F120" t="s">
        <v>55</v>
      </c>
      <c r="G120" t="s">
        <v>12</v>
      </c>
    </row>
    <row r="121" spans="1:7" x14ac:dyDescent="0.3">
      <c r="A121" s="1">
        <v>46169</v>
      </c>
      <c r="B121" t="s">
        <v>7</v>
      </c>
      <c r="C121" t="s">
        <v>8</v>
      </c>
      <c r="D121" t="s">
        <v>28</v>
      </c>
      <c r="E121" t="s">
        <v>10</v>
      </c>
      <c r="F121" t="s">
        <v>55</v>
      </c>
      <c r="G121" t="s">
        <v>12</v>
      </c>
    </row>
    <row r="122" spans="1:7" x14ac:dyDescent="0.3">
      <c r="A122" s="1">
        <v>46169</v>
      </c>
      <c r="B122" t="s">
        <v>7</v>
      </c>
      <c r="C122" t="s">
        <v>8</v>
      </c>
      <c r="D122" t="s">
        <v>17</v>
      </c>
      <c r="E122" t="s">
        <v>10</v>
      </c>
      <c r="F122" t="s">
        <v>55</v>
      </c>
      <c r="G122" t="s">
        <v>16</v>
      </c>
    </row>
    <row r="123" spans="1:7" x14ac:dyDescent="0.3">
      <c r="A123" s="1">
        <v>46169</v>
      </c>
      <c r="B123" t="s">
        <v>7</v>
      </c>
      <c r="C123" t="s">
        <v>8</v>
      </c>
      <c r="D123" t="s">
        <v>17</v>
      </c>
      <c r="E123" t="s">
        <v>18</v>
      </c>
      <c r="F123" t="s">
        <v>55</v>
      </c>
      <c r="G123" t="s">
        <v>16</v>
      </c>
    </row>
    <row r="124" spans="1:7" x14ac:dyDescent="0.3">
      <c r="A124" s="1">
        <v>46169</v>
      </c>
      <c r="B124" t="s">
        <v>7</v>
      </c>
      <c r="C124" t="s">
        <v>13</v>
      </c>
      <c r="D124" t="s">
        <v>68</v>
      </c>
      <c r="E124" t="s">
        <v>18</v>
      </c>
      <c r="F124" t="s">
        <v>69</v>
      </c>
      <c r="G124" t="s">
        <v>16</v>
      </c>
    </row>
    <row r="125" spans="1:7" x14ac:dyDescent="0.3">
      <c r="A125" s="1">
        <v>46169</v>
      </c>
      <c r="B125" t="s">
        <v>7</v>
      </c>
      <c r="C125" t="s">
        <v>8</v>
      </c>
      <c r="D125" t="s">
        <v>17</v>
      </c>
      <c r="E125" t="s">
        <v>18</v>
      </c>
      <c r="F125" t="s">
        <v>69</v>
      </c>
      <c r="G125" t="s">
        <v>12</v>
      </c>
    </row>
    <row r="126" spans="1:7" x14ac:dyDescent="0.3">
      <c r="A126" s="1">
        <v>46169</v>
      </c>
      <c r="B126" t="s">
        <v>7</v>
      </c>
      <c r="C126" t="s">
        <v>8</v>
      </c>
      <c r="D126" t="s">
        <v>22</v>
      </c>
      <c r="E126" t="s">
        <v>18</v>
      </c>
      <c r="F126" t="s">
        <v>69</v>
      </c>
      <c r="G126" t="s">
        <v>16</v>
      </c>
    </row>
    <row r="127" spans="1:7" x14ac:dyDescent="0.3">
      <c r="A127" s="1">
        <v>46169</v>
      </c>
      <c r="B127" t="s">
        <v>7</v>
      </c>
      <c r="C127" t="s">
        <v>8</v>
      </c>
      <c r="D127" t="s">
        <v>8</v>
      </c>
      <c r="E127" t="s">
        <v>45</v>
      </c>
      <c r="F127" t="s">
        <v>69</v>
      </c>
      <c r="G127" t="s">
        <v>12</v>
      </c>
    </row>
    <row r="128" spans="1:7" x14ac:dyDescent="0.3">
      <c r="A128" s="1">
        <v>46169</v>
      </c>
      <c r="B128" t="s">
        <v>29</v>
      </c>
      <c r="C128" t="s">
        <v>37</v>
      </c>
      <c r="D128" t="s">
        <v>70</v>
      </c>
      <c r="E128" t="s">
        <v>41</v>
      </c>
      <c r="F128" t="s">
        <v>69</v>
      </c>
      <c r="G128" t="s">
        <v>16</v>
      </c>
    </row>
    <row r="129" spans="1:7" x14ac:dyDescent="0.3">
      <c r="A129" s="1">
        <v>46169</v>
      </c>
      <c r="B129" t="s">
        <v>7</v>
      </c>
      <c r="C129" t="s">
        <v>8</v>
      </c>
      <c r="D129" t="s">
        <v>71</v>
      </c>
      <c r="E129" t="s">
        <v>18</v>
      </c>
      <c r="F129" t="s">
        <v>69</v>
      </c>
      <c r="G129" t="s">
        <v>16</v>
      </c>
    </row>
    <row r="130" spans="1:7" x14ac:dyDescent="0.3">
      <c r="A130" s="1">
        <v>46169</v>
      </c>
      <c r="B130" t="s">
        <v>29</v>
      </c>
      <c r="C130" t="s">
        <v>37</v>
      </c>
      <c r="D130" t="s">
        <v>72</v>
      </c>
      <c r="E130" t="s">
        <v>18</v>
      </c>
      <c r="F130" t="s">
        <v>69</v>
      </c>
      <c r="G130" t="s">
        <v>16</v>
      </c>
    </row>
    <row r="131" spans="1:7" x14ac:dyDescent="0.3">
      <c r="A131" s="1">
        <v>46169</v>
      </c>
      <c r="B131" t="s">
        <v>7</v>
      </c>
      <c r="C131" t="s">
        <v>8</v>
      </c>
      <c r="D131" t="s">
        <v>22</v>
      </c>
      <c r="E131" t="s">
        <v>18</v>
      </c>
      <c r="F131" t="s">
        <v>69</v>
      </c>
      <c r="G131" t="s">
        <v>16</v>
      </c>
    </row>
    <row r="132" spans="1:7" x14ac:dyDescent="0.3">
      <c r="A132" s="1">
        <v>46169</v>
      </c>
      <c r="B132" t="s">
        <v>73</v>
      </c>
      <c r="C132" t="s">
        <v>74</v>
      </c>
      <c r="D132" t="s">
        <v>75</v>
      </c>
      <c r="E132" t="s">
        <v>10</v>
      </c>
      <c r="F132" t="s">
        <v>69</v>
      </c>
      <c r="G132" t="s">
        <v>16</v>
      </c>
    </row>
    <row r="133" spans="1:7" x14ac:dyDescent="0.3">
      <c r="A133" s="1">
        <v>46169</v>
      </c>
      <c r="B133" t="s">
        <v>7</v>
      </c>
      <c r="C133" t="s">
        <v>8</v>
      </c>
      <c r="D133" t="s">
        <v>8</v>
      </c>
      <c r="E133" t="s">
        <v>18</v>
      </c>
      <c r="F133" t="s">
        <v>69</v>
      </c>
      <c r="G133" t="s">
        <v>16</v>
      </c>
    </row>
    <row r="134" spans="1:7" x14ac:dyDescent="0.3">
      <c r="A134" s="1">
        <v>46169</v>
      </c>
      <c r="B134" t="s">
        <v>7</v>
      </c>
      <c r="C134" t="s">
        <v>13</v>
      </c>
      <c r="D134" t="s">
        <v>13</v>
      </c>
      <c r="E134" t="s">
        <v>10</v>
      </c>
      <c r="F134" t="s">
        <v>69</v>
      </c>
      <c r="G134" t="s">
        <v>16</v>
      </c>
    </row>
    <row r="135" spans="1:7" x14ac:dyDescent="0.3">
      <c r="A135" s="1">
        <v>46169</v>
      </c>
      <c r="B135" t="s">
        <v>29</v>
      </c>
      <c r="C135" t="s">
        <v>37</v>
      </c>
      <c r="D135" t="s">
        <v>76</v>
      </c>
      <c r="E135" t="s">
        <v>10</v>
      </c>
      <c r="F135" t="s">
        <v>69</v>
      </c>
      <c r="G135" t="s">
        <v>16</v>
      </c>
    </row>
    <row r="136" spans="1:7" x14ac:dyDescent="0.3">
      <c r="A136" s="1">
        <v>46169</v>
      </c>
      <c r="B136" t="s">
        <v>7</v>
      </c>
      <c r="C136" t="s">
        <v>8</v>
      </c>
      <c r="D136" t="s">
        <v>22</v>
      </c>
      <c r="E136" t="s">
        <v>18</v>
      </c>
      <c r="F136" t="s">
        <v>69</v>
      </c>
      <c r="G136" t="s">
        <v>16</v>
      </c>
    </row>
    <row r="137" spans="1:7" x14ac:dyDescent="0.3">
      <c r="A137" s="1">
        <v>46169</v>
      </c>
      <c r="B137" t="s">
        <v>7</v>
      </c>
      <c r="C137" t="s">
        <v>8</v>
      </c>
      <c r="D137" t="s">
        <v>77</v>
      </c>
      <c r="E137" t="s">
        <v>10</v>
      </c>
      <c r="F137" t="s">
        <v>69</v>
      </c>
      <c r="G137" t="s">
        <v>16</v>
      </c>
    </row>
    <row r="138" spans="1:7" x14ac:dyDescent="0.3">
      <c r="A138" s="1">
        <v>46169</v>
      </c>
      <c r="B138" t="s">
        <v>7</v>
      </c>
      <c r="C138" t="s">
        <v>13</v>
      </c>
      <c r="D138" t="s">
        <v>78</v>
      </c>
      <c r="E138" t="s">
        <v>18</v>
      </c>
      <c r="F138" t="s">
        <v>69</v>
      </c>
      <c r="G138" t="s">
        <v>16</v>
      </c>
    </row>
    <row r="139" spans="1:7" x14ac:dyDescent="0.3">
      <c r="A139" s="1">
        <v>46169</v>
      </c>
      <c r="B139" t="s">
        <v>7</v>
      </c>
      <c r="C139" t="s">
        <v>8</v>
      </c>
      <c r="D139" t="s">
        <v>22</v>
      </c>
      <c r="E139" t="s">
        <v>10</v>
      </c>
      <c r="F139" t="s">
        <v>69</v>
      </c>
      <c r="G139" t="s">
        <v>16</v>
      </c>
    </row>
    <row r="140" spans="1:7" x14ac:dyDescent="0.3">
      <c r="A140" s="1">
        <v>46169</v>
      </c>
      <c r="B140" t="s">
        <v>29</v>
      </c>
      <c r="C140" t="s">
        <v>79</v>
      </c>
      <c r="D140" t="s">
        <v>80</v>
      </c>
      <c r="E140" t="s">
        <v>10</v>
      </c>
      <c r="F140" t="s">
        <v>69</v>
      </c>
      <c r="G140" t="s">
        <v>16</v>
      </c>
    </row>
    <row r="141" spans="1:7" x14ac:dyDescent="0.3">
      <c r="A141" s="1">
        <v>46169</v>
      </c>
      <c r="B141" t="s">
        <v>7</v>
      </c>
      <c r="C141" t="s">
        <v>8</v>
      </c>
      <c r="D141" t="s">
        <v>8</v>
      </c>
      <c r="E141" t="s">
        <v>41</v>
      </c>
      <c r="F141" t="s">
        <v>69</v>
      </c>
      <c r="G141" t="s">
        <v>12</v>
      </c>
    </row>
    <row r="142" spans="1:7" x14ac:dyDescent="0.3">
      <c r="A142" s="1">
        <v>46169</v>
      </c>
      <c r="B142" t="s">
        <v>29</v>
      </c>
      <c r="C142" t="s">
        <v>79</v>
      </c>
      <c r="D142" t="s">
        <v>81</v>
      </c>
      <c r="E142" t="s">
        <v>18</v>
      </c>
      <c r="F142" t="s">
        <v>69</v>
      </c>
      <c r="G142" t="s">
        <v>16</v>
      </c>
    </row>
    <row r="143" spans="1:7" x14ac:dyDescent="0.3">
      <c r="A143" s="1">
        <v>46169</v>
      </c>
      <c r="B143" t="s">
        <v>7</v>
      </c>
      <c r="C143" t="s">
        <v>13</v>
      </c>
      <c r="D143" t="s">
        <v>82</v>
      </c>
      <c r="E143" t="s">
        <v>18</v>
      </c>
      <c r="F143" t="s">
        <v>69</v>
      </c>
      <c r="G143" t="s">
        <v>16</v>
      </c>
    </row>
    <row r="144" spans="1:7" x14ac:dyDescent="0.3">
      <c r="A144" s="1">
        <v>46169</v>
      </c>
      <c r="B144" t="s">
        <v>7</v>
      </c>
      <c r="C144" t="s">
        <v>8</v>
      </c>
      <c r="D144" t="s">
        <v>17</v>
      </c>
      <c r="E144" t="s">
        <v>18</v>
      </c>
      <c r="F144" t="s">
        <v>69</v>
      </c>
      <c r="G144" t="s">
        <v>16</v>
      </c>
    </row>
    <row r="145" spans="1:7" x14ac:dyDescent="0.3">
      <c r="A145" s="1">
        <v>46169</v>
      </c>
      <c r="B145" t="s">
        <v>7</v>
      </c>
      <c r="C145" t="s">
        <v>8</v>
      </c>
      <c r="D145" t="s">
        <v>9</v>
      </c>
      <c r="E145" t="s">
        <v>18</v>
      </c>
      <c r="F145" t="s">
        <v>69</v>
      </c>
      <c r="G145" t="s">
        <v>16</v>
      </c>
    </row>
    <row r="146" spans="1:7" x14ac:dyDescent="0.3">
      <c r="A146" s="1">
        <v>46169</v>
      </c>
      <c r="B146" t="s">
        <v>29</v>
      </c>
      <c r="C146" t="s">
        <v>64</v>
      </c>
      <c r="D146" t="s">
        <v>64</v>
      </c>
      <c r="E146" t="s">
        <v>18</v>
      </c>
      <c r="F146" t="s">
        <v>83</v>
      </c>
      <c r="G146" t="s">
        <v>12</v>
      </c>
    </row>
    <row r="147" spans="1:7" x14ac:dyDescent="0.3">
      <c r="A147" s="1">
        <v>46169</v>
      </c>
      <c r="B147" t="s">
        <v>7</v>
      </c>
      <c r="C147" t="s">
        <v>8</v>
      </c>
      <c r="D147" t="s">
        <v>22</v>
      </c>
      <c r="E147" t="s">
        <v>10</v>
      </c>
      <c r="F147" t="s">
        <v>83</v>
      </c>
      <c r="G147" t="s">
        <v>12</v>
      </c>
    </row>
    <row r="148" spans="1:7" x14ac:dyDescent="0.3">
      <c r="A148" s="1">
        <v>46169</v>
      </c>
      <c r="B148" t="s">
        <v>7</v>
      </c>
      <c r="C148" t="s">
        <v>8</v>
      </c>
      <c r="D148" t="s">
        <v>42</v>
      </c>
      <c r="E148" t="s">
        <v>18</v>
      </c>
      <c r="F148" t="s">
        <v>83</v>
      </c>
      <c r="G148" t="s">
        <v>12</v>
      </c>
    </row>
    <row r="149" spans="1:7" x14ac:dyDescent="0.3">
      <c r="A149" s="1">
        <v>46169</v>
      </c>
      <c r="B149" t="s">
        <v>7</v>
      </c>
      <c r="C149" t="s">
        <v>8</v>
      </c>
      <c r="D149" t="s">
        <v>8</v>
      </c>
      <c r="E149" t="s">
        <v>18</v>
      </c>
      <c r="F149" t="s">
        <v>83</v>
      </c>
      <c r="G149" t="s">
        <v>12</v>
      </c>
    </row>
    <row r="150" spans="1:7" x14ac:dyDescent="0.3">
      <c r="A150" s="1">
        <v>46169</v>
      </c>
      <c r="B150" t="s">
        <v>7</v>
      </c>
      <c r="C150" t="s">
        <v>8</v>
      </c>
      <c r="D150" t="s">
        <v>17</v>
      </c>
      <c r="E150" t="s">
        <v>10</v>
      </c>
      <c r="F150" t="s">
        <v>83</v>
      </c>
      <c r="G150" t="s">
        <v>12</v>
      </c>
    </row>
    <row r="151" spans="1:7" x14ac:dyDescent="0.3">
      <c r="A151" s="1">
        <v>46169</v>
      </c>
      <c r="B151" t="s">
        <v>7</v>
      </c>
      <c r="C151" t="s">
        <v>8</v>
      </c>
      <c r="D151" t="s">
        <v>17</v>
      </c>
      <c r="E151" t="s">
        <v>10</v>
      </c>
      <c r="F151" t="s">
        <v>83</v>
      </c>
      <c r="G151" t="s">
        <v>12</v>
      </c>
    </row>
    <row r="152" spans="1:7" x14ac:dyDescent="0.3">
      <c r="A152" s="1">
        <v>46169</v>
      </c>
      <c r="B152" t="s">
        <v>7</v>
      </c>
      <c r="C152" t="s">
        <v>8</v>
      </c>
      <c r="D152" t="s">
        <v>22</v>
      </c>
      <c r="E152" t="s">
        <v>18</v>
      </c>
      <c r="F152" t="s">
        <v>83</v>
      </c>
      <c r="G152" t="s">
        <v>12</v>
      </c>
    </row>
    <row r="153" spans="1:7" x14ac:dyDescent="0.3">
      <c r="A153" s="1">
        <v>46169</v>
      </c>
      <c r="B153" t="s">
        <v>7</v>
      </c>
      <c r="C153" t="s">
        <v>8</v>
      </c>
      <c r="D153" t="s">
        <v>17</v>
      </c>
      <c r="E153" t="s">
        <v>18</v>
      </c>
      <c r="F153" t="s">
        <v>83</v>
      </c>
      <c r="G153" t="s">
        <v>12</v>
      </c>
    </row>
    <row r="154" spans="1:7" x14ac:dyDescent="0.3">
      <c r="A154" s="1">
        <v>46169</v>
      </c>
      <c r="B154" t="s">
        <v>7</v>
      </c>
      <c r="C154" t="s">
        <v>13</v>
      </c>
      <c r="D154" t="s">
        <v>84</v>
      </c>
      <c r="E154" t="s">
        <v>10</v>
      </c>
      <c r="F154" t="s">
        <v>83</v>
      </c>
      <c r="G154" t="s">
        <v>12</v>
      </c>
    </row>
    <row r="155" spans="1:7" x14ac:dyDescent="0.3">
      <c r="A155" s="1">
        <v>46169</v>
      </c>
      <c r="B155" t="s">
        <v>7</v>
      </c>
      <c r="C155" t="s">
        <v>8</v>
      </c>
      <c r="D155" t="s">
        <v>8</v>
      </c>
      <c r="E155" t="s">
        <v>18</v>
      </c>
      <c r="F155" t="s">
        <v>83</v>
      </c>
      <c r="G155" t="s">
        <v>12</v>
      </c>
    </row>
    <row r="156" spans="1:7" x14ac:dyDescent="0.3">
      <c r="A156" s="1">
        <v>46169</v>
      </c>
      <c r="B156" t="s">
        <v>7</v>
      </c>
      <c r="C156" t="s">
        <v>8</v>
      </c>
      <c r="D156" t="s">
        <v>22</v>
      </c>
      <c r="E156" t="s">
        <v>18</v>
      </c>
      <c r="F156" t="s">
        <v>83</v>
      </c>
      <c r="G156" t="s">
        <v>12</v>
      </c>
    </row>
    <row r="157" spans="1:7" x14ac:dyDescent="0.3">
      <c r="A157" s="1">
        <v>46169</v>
      </c>
      <c r="B157" t="s">
        <v>7</v>
      </c>
      <c r="C157" t="s">
        <v>8</v>
      </c>
      <c r="D157" t="s">
        <v>22</v>
      </c>
      <c r="E157" t="s">
        <v>18</v>
      </c>
      <c r="F157" t="s">
        <v>83</v>
      </c>
      <c r="G157" t="s">
        <v>12</v>
      </c>
    </row>
    <row r="158" spans="1:7" x14ac:dyDescent="0.3">
      <c r="A158" s="1">
        <v>46169</v>
      </c>
      <c r="B158" t="s">
        <v>7</v>
      </c>
      <c r="C158" t="s">
        <v>19</v>
      </c>
      <c r="D158" t="s">
        <v>85</v>
      </c>
      <c r="E158" t="s">
        <v>18</v>
      </c>
      <c r="F158" t="s">
        <v>83</v>
      </c>
      <c r="G158" t="s">
        <v>12</v>
      </c>
    </row>
    <row r="159" spans="1:7" x14ac:dyDescent="0.3">
      <c r="A159" s="1">
        <v>46169</v>
      </c>
      <c r="B159" t="s">
        <v>29</v>
      </c>
      <c r="C159" t="s">
        <v>37</v>
      </c>
      <c r="D159" t="s">
        <v>40</v>
      </c>
      <c r="E159" t="s">
        <v>18</v>
      </c>
      <c r="F159" t="s">
        <v>83</v>
      </c>
      <c r="G159" t="s">
        <v>12</v>
      </c>
    </row>
    <row r="160" spans="1:7" x14ac:dyDescent="0.3">
      <c r="A160" s="1">
        <v>46169</v>
      </c>
      <c r="B160" t="s">
        <v>7</v>
      </c>
      <c r="C160" t="s">
        <v>8</v>
      </c>
      <c r="D160" t="s">
        <v>22</v>
      </c>
      <c r="E160" t="s">
        <v>41</v>
      </c>
      <c r="F160" t="s">
        <v>83</v>
      </c>
      <c r="G160" t="s">
        <v>12</v>
      </c>
    </row>
    <row r="161" spans="1:7" x14ac:dyDescent="0.3">
      <c r="A161" s="1">
        <v>46169</v>
      </c>
      <c r="B161" t="s">
        <v>7</v>
      </c>
      <c r="C161" t="s">
        <v>7</v>
      </c>
      <c r="D161" t="s">
        <v>86</v>
      </c>
      <c r="E161" t="s">
        <v>18</v>
      </c>
      <c r="F161" t="s">
        <v>83</v>
      </c>
      <c r="G161" t="s">
        <v>12</v>
      </c>
    </row>
    <row r="162" spans="1:7" x14ac:dyDescent="0.3">
      <c r="A162" s="1">
        <v>46169</v>
      </c>
      <c r="B162" t="s">
        <v>7</v>
      </c>
      <c r="C162" t="s">
        <v>8</v>
      </c>
      <c r="D162" t="s">
        <v>17</v>
      </c>
      <c r="E162" t="s">
        <v>18</v>
      </c>
      <c r="F162" t="s">
        <v>83</v>
      </c>
      <c r="G162" t="s">
        <v>12</v>
      </c>
    </row>
    <row r="163" spans="1:7" x14ac:dyDescent="0.3">
      <c r="A163" s="1">
        <v>46169</v>
      </c>
      <c r="B163" t="s">
        <v>7</v>
      </c>
      <c r="C163" t="s">
        <v>8</v>
      </c>
      <c r="D163" t="s">
        <v>22</v>
      </c>
      <c r="E163" t="s">
        <v>18</v>
      </c>
      <c r="F163" t="s">
        <v>83</v>
      </c>
      <c r="G163" t="s">
        <v>12</v>
      </c>
    </row>
    <row r="164" spans="1:7" x14ac:dyDescent="0.3">
      <c r="A164" s="1">
        <v>46169</v>
      </c>
      <c r="B164" t="s">
        <v>7</v>
      </c>
      <c r="C164" t="s">
        <v>8</v>
      </c>
      <c r="D164" t="s">
        <v>22</v>
      </c>
      <c r="E164" t="s">
        <v>18</v>
      </c>
      <c r="F164" t="s">
        <v>83</v>
      </c>
      <c r="G164" t="s">
        <v>12</v>
      </c>
    </row>
    <row r="165" spans="1:7" x14ac:dyDescent="0.3">
      <c r="A165" s="1">
        <v>46169</v>
      </c>
      <c r="B165" t="s">
        <v>7</v>
      </c>
      <c r="C165" t="s">
        <v>8</v>
      </c>
      <c r="D165" t="s">
        <v>17</v>
      </c>
      <c r="E165" t="s">
        <v>18</v>
      </c>
      <c r="F165" t="s">
        <v>83</v>
      </c>
      <c r="G165" t="s">
        <v>12</v>
      </c>
    </row>
    <row r="166" spans="1:7" x14ac:dyDescent="0.3">
      <c r="A166" s="1">
        <v>46169</v>
      </c>
      <c r="B166" t="s">
        <v>7</v>
      </c>
      <c r="C166" t="s">
        <v>8</v>
      </c>
      <c r="D166" t="s">
        <v>23</v>
      </c>
      <c r="E166" t="s">
        <v>18</v>
      </c>
      <c r="F166" t="s">
        <v>87</v>
      </c>
      <c r="G166" t="s">
        <v>12</v>
      </c>
    </row>
    <row r="167" spans="1:7" x14ac:dyDescent="0.3">
      <c r="A167" s="1">
        <v>46169</v>
      </c>
      <c r="B167" t="s">
        <v>73</v>
      </c>
      <c r="C167" t="s">
        <v>74</v>
      </c>
      <c r="D167" t="s">
        <v>88</v>
      </c>
      <c r="E167" t="s">
        <v>18</v>
      </c>
      <c r="F167" t="s">
        <v>87</v>
      </c>
      <c r="G167" t="s">
        <v>12</v>
      </c>
    </row>
    <row r="168" spans="1:7" x14ac:dyDescent="0.3">
      <c r="A168" s="1">
        <v>46169</v>
      </c>
      <c r="B168" t="s">
        <v>7</v>
      </c>
      <c r="C168" t="s">
        <v>8</v>
      </c>
      <c r="D168" t="s">
        <v>17</v>
      </c>
      <c r="E168" t="s">
        <v>18</v>
      </c>
      <c r="F168" t="s">
        <v>87</v>
      </c>
      <c r="G168" t="s">
        <v>12</v>
      </c>
    </row>
    <row r="169" spans="1:7" x14ac:dyDescent="0.3">
      <c r="A169" s="1">
        <v>46169</v>
      </c>
      <c r="B169" t="s">
        <v>7</v>
      </c>
      <c r="C169" t="s">
        <v>8</v>
      </c>
      <c r="D169" t="s">
        <v>17</v>
      </c>
      <c r="E169" t="s">
        <v>43</v>
      </c>
      <c r="F169" t="s">
        <v>87</v>
      </c>
      <c r="G169" t="s">
        <v>12</v>
      </c>
    </row>
    <row r="170" spans="1:7" x14ac:dyDescent="0.3">
      <c r="A170" s="1">
        <v>46169</v>
      </c>
      <c r="B170" t="s">
        <v>7</v>
      </c>
      <c r="C170" t="s">
        <v>8</v>
      </c>
      <c r="D170" t="s">
        <v>22</v>
      </c>
      <c r="E170" t="s">
        <v>18</v>
      </c>
      <c r="F170" t="s">
        <v>87</v>
      </c>
      <c r="G170" t="s">
        <v>12</v>
      </c>
    </row>
    <row r="171" spans="1:7" x14ac:dyDescent="0.3">
      <c r="A171" s="1">
        <v>46169</v>
      </c>
      <c r="B171" t="s">
        <v>7</v>
      </c>
      <c r="C171" t="s">
        <v>8</v>
      </c>
      <c r="D171" t="s">
        <v>22</v>
      </c>
      <c r="E171" t="s">
        <v>18</v>
      </c>
      <c r="F171" t="s">
        <v>87</v>
      </c>
      <c r="G171" t="s">
        <v>12</v>
      </c>
    </row>
    <row r="172" spans="1:7" x14ac:dyDescent="0.3">
      <c r="A172" s="1">
        <v>46169</v>
      </c>
      <c r="B172" t="s">
        <v>7</v>
      </c>
      <c r="C172" t="s">
        <v>8</v>
      </c>
      <c r="D172" t="s">
        <v>89</v>
      </c>
      <c r="E172" t="s">
        <v>18</v>
      </c>
      <c r="F172" t="s">
        <v>87</v>
      </c>
      <c r="G172" t="s">
        <v>12</v>
      </c>
    </row>
    <row r="173" spans="1:7" x14ac:dyDescent="0.3">
      <c r="A173" s="1">
        <v>46169</v>
      </c>
      <c r="B173" t="s">
        <v>7</v>
      </c>
      <c r="C173" t="s">
        <v>8</v>
      </c>
      <c r="D173" t="s">
        <v>17</v>
      </c>
      <c r="E173" t="s">
        <v>18</v>
      </c>
      <c r="F173" t="s">
        <v>87</v>
      </c>
      <c r="G173" t="s">
        <v>12</v>
      </c>
    </row>
    <row r="174" spans="1:7" x14ac:dyDescent="0.3">
      <c r="A174" s="1">
        <v>46169</v>
      </c>
      <c r="B174" t="s">
        <v>7</v>
      </c>
      <c r="C174" t="s">
        <v>8</v>
      </c>
      <c r="D174" t="s">
        <v>22</v>
      </c>
      <c r="E174" t="s">
        <v>10</v>
      </c>
      <c r="F174" t="s">
        <v>87</v>
      </c>
      <c r="G174" t="s">
        <v>12</v>
      </c>
    </row>
    <row r="175" spans="1:7" x14ac:dyDescent="0.3">
      <c r="A175" s="1">
        <v>46169</v>
      </c>
      <c r="B175" t="s">
        <v>7</v>
      </c>
      <c r="C175" t="s">
        <v>8</v>
      </c>
      <c r="D175" t="s">
        <v>89</v>
      </c>
      <c r="E175" t="s">
        <v>10</v>
      </c>
      <c r="F175" t="s">
        <v>87</v>
      </c>
      <c r="G175" t="s">
        <v>12</v>
      </c>
    </row>
    <row r="176" spans="1:7" x14ac:dyDescent="0.3">
      <c r="A176" s="1">
        <v>46169</v>
      </c>
      <c r="B176" t="s">
        <v>50</v>
      </c>
      <c r="C176" t="s">
        <v>90</v>
      </c>
      <c r="D176" t="s">
        <v>90</v>
      </c>
      <c r="E176" t="s">
        <v>18</v>
      </c>
      <c r="F176" t="s">
        <v>87</v>
      </c>
      <c r="G176" t="s">
        <v>12</v>
      </c>
    </row>
    <row r="177" spans="1:7" x14ac:dyDescent="0.3">
      <c r="A177" s="1">
        <v>46169</v>
      </c>
      <c r="B177" t="s">
        <v>7</v>
      </c>
      <c r="C177" t="s">
        <v>8</v>
      </c>
      <c r="D177" t="s">
        <v>8</v>
      </c>
      <c r="E177" t="s">
        <v>18</v>
      </c>
      <c r="F177" t="s">
        <v>87</v>
      </c>
      <c r="G177" t="s">
        <v>12</v>
      </c>
    </row>
    <row r="178" spans="1:7" x14ac:dyDescent="0.3">
      <c r="A178" s="1">
        <v>46169</v>
      </c>
      <c r="B178" t="s">
        <v>7</v>
      </c>
      <c r="C178" t="s">
        <v>8</v>
      </c>
      <c r="D178" t="s">
        <v>17</v>
      </c>
      <c r="E178" t="s">
        <v>10</v>
      </c>
      <c r="F178" t="s">
        <v>87</v>
      </c>
      <c r="G178" t="s">
        <v>12</v>
      </c>
    </row>
    <row r="179" spans="1:7" x14ac:dyDescent="0.3">
      <c r="A179" s="1">
        <v>46169</v>
      </c>
      <c r="B179" t="s">
        <v>7</v>
      </c>
      <c r="C179" t="s">
        <v>8</v>
      </c>
      <c r="D179" t="s">
        <v>89</v>
      </c>
      <c r="E179" t="s">
        <v>18</v>
      </c>
      <c r="F179" t="s">
        <v>87</v>
      </c>
      <c r="G179" t="s">
        <v>12</v>
      </c>
    </row>
    <row r="180" spans="1:7" x14ac:dyDescent="0.3">
      <c r="A180" s="1">
        <v>46169</v>
      </c>
      <c r="B180" t="s">
        <v>7</v>
      </c>
      <c r="C180" t="s">
        <v>8</v>
      </c>
      <c r="D180" t="s">
        <v>17</v>
      </c>
      <c r="E180" t="s">
        <v>18</v>
      </c>
      <c r="F180" t="s">
        <v>87</v>
      </c>
      <c r="G180" t="s">
        <v>12</v>
      </c>
    </row>
    <row r="181" spans="1:7" x14ac:dyDescent="0.3">
      <c r="A181" s="1">
        <v>46169</v>
      </c>
      <c r="B181" t="s">
        <v>7</v>
      </c>
      <c r="C181" t="s">
        <v>8</v>
      </c>
      <c r="D181" t="s">
        <v>8</v>
      </c>
      <c r="E181" t="s">
        <v>18</v>
      </c>
      <c r="F181" t="s">
        <v>87</v>
      </c>
      <c r="G181" t="s">
        <v>12</v>
      </c>
    </row>
    <row r="182" spans="1:7" x14ac:dyDescent="0.3">
      <c r="A182" s="1">
        <v>46169</v>
      </c>
      <c r="B182" t="s">
        <v>7</v>
      </c>
      <c r="C182" t="s">
        <v>8</v>
      </c>
      <c r="D182" t="s">
        <v>23</v>
      </c>
      <c r="E182" t="s">
        <v>18</v>
      </c>
      <c r="F182" t="s">
        <v>87</v>
      </c>
      <c r="G182" t="s">
        <v>12</v>
      </c>
    </row>
    <row r="183" spans="1:7" x14ac:dyDescent="0.3">
      <c r="A183" s="1">
        <v>46169</v>
      </c>
      <c r="B183" t="s">
        <v>7</v>
      </c>
      <c r="C183" t="s">
        <v>8</v>
      </c>
      <c r="D183" t="s">
        <v>89</v>
      </c>
      <c r="E183" t="s">
        <v>18</v>
      </c>
      <c r="F183" t="s">
        <v>91</v>
      </c>
      <c r="G183" t="s">
        <v>16</v>
      </c>
    </row>
    <row r="184" spans="1:7" x14ac:dyDescent="0.3">
      <c r="A184" s="1">
        <v>46169</v>
      </c>
      <c r="B184" t="s">
        <v>7</v>
      </c>
      <c r="C184" t="s">
        <v>56</v>
      </c>
      <c r="D184" t="s">
        <v>92</v>
      </c>
      <c r="E184" t="s">
        <v>43</v>
      </c>
      <c r="F184" t="s">
        <v>91</v>
      </c>
      <c r="G184" t="s">
        <v>16</v>
      </c>
    </row>
    <row r="185" spans="1:7" x14ac:dyDescent="0.3">
      <c r="A185" s="1">
        <v>46169</v>
      </c>
      <c r="B185" t="s">
        <v>7</v>
      </c>
      <c r="C185" t="s">
        <v>8</v>
      </c>
      <c r="D185" t="s">
        <v>17</v>
      </c>
      <c r="E185" t="s">
        <v>18</v>
      </c>
      <c r="F185" t="s">
        <v>91</v>
      </c>
      <c r="G185" t="s">
        <v>16</v>
      </c>
    </row>
    <row r="186" spans="1:7" x14ac:dyDescent="0.3">
      <c r="A186" s="1">
        <v>46169</v>
      </c>
      <c r="B186" t="s">
        <v>7</v>
      </c>
      <c r="C186" t="s">
        <v>8</v>
      </c>
      <c r="D186" t="s">
        <v>23</v>
      </c>
      <c r="E186" t="s">
        <v>18</v>
      </c>
      <c r="F186" t="s">
        <v>93</v>
      </c>
      <c r="G186" t="s">
        <v>16</v>
      </c>
    </row>
    <row r="187" spans="1:7" x14ac:dyDescent="0.3">
      <c r="A187" s="1">
        <v>46169</v>
      </c>
      <c r="B187" t="s">
        <v>7</v>
      </c>
      <c r="C187" t="s">
        <v>13</v>
      </c>
      <c r="D187" t="s">
        <v>82</v>
      </c>
      <c r="E187" t="s">
        <v>18</v>
      </c>
      <c r="F187" t="s">
        <v>91</v>
      </c>
      <c r="G187" t="s">
        <v>16</v>
      </c>
    </row>
    <row r="188" spans="1:7" x14ac:dyDescent="0.3">
      <c r="A188" s="1">
        <v>46169</v>
      </c>
      <c r="B188" t="s">
        <v>7</v>
      </c>
      <c r="C188" t="s">
        <v>19</v>
      </c>
      <c r="D188" t="s">
        <v>19</v>
      </c>
      <c r="E188" t="s">
        <v>18</v>
      </c>
      <c r="F188" t="s">
        <v>91</v>
      </c>
      <c r="G188" t="s">
        <v>12</v>
      </c>
    </row>
    <row r="189" spans="1:7" x14ac:dyDescent="0.3">
      <c r="A189" s="1">
        <v>46169</v>
      </c>
      <c r="B189" t="s">
        <v>7</v>
      </c>
      <c r="C189" t="s">
        <v>61</v>
      </c>
      <c r="D189" t="s">
        <v>61</v>
      </c>
      <c r="E189" t="s">
        <v>18</v>
      </c>
      <c r="F189" t="s">
        <v>91</v>
      </c>
      <c r="G189" t="s">
        <v>12</v>
      </c>
    </row>
    <row r="190" spans="1:7" x14ac:dyDescent="0.3">
      <c r="A190" s="1">
        <v>46169</v>
      </c>
      <c r="B190" t="s">
        <v>7</v>
      </c>
      <c r="C190" t="s">
        <v>26</v>
      </c>
      <c r="D190" t="s">
        <v>26</v>
      </c>
      <c r="E190" t="s">
        <v>18</v>
      </c>
      <c r="F190" t="s">
        <v>91</v>
      </c>
      <c r="G190" t="s">
        <v>12</v>
      </c>
    </row>
    <row r="191" spans="1:7" x14ac:dyDescent="0.3">
      <c r="A191" s="1">
        <v>46169</v>
      </c>
      <c r="B191" t="s">
        <v>7</v>
      </c>
      <c r="C191" t="s">
        <v>8</v>
      </c>
      <c r="D191" t="s">
        <v>22</v>
      </c>
      <c r="E191" t="s">
        <v>18</v>
      </c>
      <c r="F191" t="s">
        <v>91</v>
      </c>
      <c r="G191" t="s">
        <v>16</v>
      </c>
    </row>
    <row r="192" spans="1:7" x14ac:dyDescent="0.3">
      <c r="A192" s="1">
        <v>46169</v>
      </c>
      <c r="B192" t="s">
        <v>7</v>
      </c>
      <c r="C192" t="s">
        <v>62</v>
      </c>
      <c r="D192" t="s">
        <v>94</v>
      </c>
      <c r="E192" t="s">
        <v>10</v>
      </c>
      <c r="F192" t="s">
        <v>91</v>
      </c>
      <c r="G192" t="s">
        <v>16</v>
      </c>
    </row>
    <row r="193" spans="1:7" x14ac:dyDescent="0.3">
      <c r="A193" s="1">
        <v>46169</v>
      </c>
      <c r="B193" t="s">
        <v>7</v>
      </c>
      <c r="C193" t="s">
        <v>8</v>
      </c>
      <c r="D193" t="s">
        <v>22</v>
      </c>
      <c r="E193" t="s">
        <v>10</v>
      </c>
      <c r="F193" t="s">
        <v>95</v>
      </c>
      <c r="G193" t="s">
        <v>16</v>
      </c>
    </row>
    <row r="194" spans="1:7" x14ac:dyDescent="0.3">
      <c r="A194" s="1">
        <v>46169</v>
      </c>
      <c r="B194" t="s">
        <v>7</v>
      </c>
      <c r="C194" t="s">
        <v>8</v>
      </c>
      <c r="D194" t="s">
        <v>8</v>
      </c>
      <c r="E194" t="s">
        <v>18</v>
      </c>
      <c r="F194" t="s">
        <v>95</v>
      </c>
      <c r="G194" t="s">
        <v>16</v>
      </c>
    </row>
    <row r="195" spans="1:7" x14ac:dyDescent="0.3">
      <c r="A195" s="1">
        <v>46169</v>
      </c>
      <c r="B195" t="s">
        <v>7</v>
      </c>
      <c r="C195" t="s">
        <v>8</v>
      </c>
      <c r="D195" t="s">
        <v>22</v>
      </c>
      <c r="E195" t="s">
        <v>10</v>
      </c>
      <c r="F195" t="s">
        <v>95</v>
      </c>
      <c r="G195" t="s">
        <v>12</v>
      </c>
    </row>
    <row r="196" spans="1:7" x14ac:dyDescent="0.3">
      <c r="A196" s="1">
        <v>46169</v>
      </c>
      <c r="B196" t="s">
        <v>7</v>
      </c>
      <c r="C196" t="s">
        <v>13</v>
      </c>
      <c r="D196" t="s">
        <v>13</v>
      </c>
      <c r="E196" t="s">
        <v>10</v>
      </c>
      <c r="F196" t="s">
        <v>95</v>
      </c>
      <c r="G196" t="s">
        <v>16</v>
      </c>
    </row>
    <row r="197" spans="1:7" x14ac:dyDescent="0.3">
      <c r="A197" s="1">
        <v>46169</v>
      </c>
      <c r="B197" t="s">
        <v>7</v>
      </c>
      <c r="C197" t="s">
        <v>8</v>
      </c>
      <c r="D197" t="s">
        <v>25</v>
      </c>
      <c r="E197" t="s">
        <v>18</v>
      </c>
      <c r="F197" t="s">
        <v>95</v>
      </c>
      <c r="G197" t="s">
        <v>12</v>
      </c>
    </row>
    <row r="198" spans="1:7" x14ac:dyDescent="0.3">
      <c r="A198" s="1">
        <v>46169</v>
      </c>
      <c r="B198" t="s">
        <v>29</v>
      </c>
      <c r="C198" t="s">
        <v>37</v>
      </c>
      <c r="D198" t="s">
        <v>70</v>
      </c>
      <c r="E198" t="s">
        <v>41</v>
      </c>
      <c r="F198" t="s">
        <v>95</v>
      </c>
      <c r="G198" t="s">
        <v>12</v>
      </c>
    </row>
    <row r="199" spans="1:7" x14ac:dyDescent="0.3">
      <c r="A199" s="1">
        <v>46169</v>
      </c>
      <c r="B199" t="s">
        <v>7</v>
      </c>
      <c r="C199" t="s">
        <v>56</v>
      </c>
      <c r="D199" t="s">
        <v>92</v>
      </c>
      <c r="E199" t="s">
        <v>18</v>
      </c>
      <c r="F199" t="s">
        <v>95</v>
      </c>
      <c r="G199" t="s">
        <v>12</v>
      </c>
    </row>
    <row r="200" spans="1:7" x14ac:dyDescent="0.3">
      <c r="A200" s="1">
        <v>46169</v>
      </c>
      <c r="B200" t="s">
        <v>7</v>
      </c>
      <c r="C200" t="s">
        <v>62</v>
      </c>
      <c r="D200" t="s">
        <v>63</v>
      </c>
      <c r="E200" t="s">
        <v>18</v>
      </c>
      <c r="F200" t="s">
        <v>95</v>
      </c>
      <c r="G200" t="s">
        <v>16</v>
      </c>
    </row>
    <row r="201" spans="1:7" x14ac:dyDescent="0.3">
      <c r="A201" s="1">
        <v>46169</v>
      </c>
      <c r="B201" t="s">
        <v>7</v>
      </c>
      <c r="C201" t="s">
        <v>8</v>
      </c>
      <c r="D201" t="s">
        <v>89</v>
      </c>
      <c r="E201" t="s">
        <v>18</v>
      </c>
      <c r="F201" t="s">
        <v>95</v>
      </c>
      <c r="G201" t="s">
        <v>16</v>
      </c>
    </row>
    <row r="202" spans="1:7" x14ac:dyDescent="0.3">
      <c r="A202" s="1">
        <v>46169</v>
      </c>
      <c r="B202" t="s">
        <v>7</v>
      </c>
      <c r="C202" t="s">
        <v>8</v>
      </c>
      <c r="D202" t="s">
        <v>17</v>
      </c>
      <c r="E202" t="s">
        <v>18</v>
      </c>
      <c r="F202" t="s">
        <v>95</v>
      </c>
      <c r="G202" t="s">
        <v>12</v>
      </c>
    </row>
    <row r="203" spans="1:7" x14ac:dyDescent="0.3">
      <c r="A203" s="1">
        <v>46169</v>
      </c>
      <c r="B203" t="s">
        <v>7</v>
      </c>
      <c r="C203" t="s">
        <v>8</v>
      </c>
      <c r="D203" t="s">
        <v>89</v>
      </c>
      <c r="E203" t="s">
        <v>18</v>
      </c>
      <c r="F203" t="s">
        <v>95</v>
      </c>
      <c r="G203" t="s">
        <v>12</v>
      </c>
    </row>
    <row r="204" spans="1:7" x14ac:dyDescent="0.3">
      <c r="A204" s="1">
        <v>46169</v>
      </c>
      <c r="B204" t="s">
        <v>7</v>
      </c>
      <c r="C204" t="s">
        <v>8</v>
      </c>
      <c r="D204" t="s">
        <v>22</v>
      </c>
      <c r="E204" t="s">
        <v>18</v>
      </c>
      <c r="F204" t="s">
        <v>95</v>
      </c>
      <c r="G204" t="s">
        <v>16</v>
      </c>
    </row>
    <row r="205" spans="1:7" x14ac:dyDescent="0.3">
      <c r="A205" s="1">
        <v>46169</v>
      </c>
      <c r="B205" t="s">
        <v>7</v>
      </c>
      <c r="C205" t="s">
        <v>8</v>
      </c>
      <c r="D205" t="s">
        <v>23</v>
      </c>
      <c r="E205" t="s">
        <v>18</v>
      </c>
      <c r="F205" t="s">
        <v>95</v>
      </c>
      <c r="G205" t="s">
        <v>16</v>
      </c>
    </row>
    <row r="206" spans="1:7" x14ac:dyDescent="0.3">
      <c r="A206" s="1">
        <v>46169</v>
      </c>
      <c r="B206" t="s">
        <v>7</v>
      </c>
      <c r="C206" t="s">
        <v>8</v>
      </c>
      <c r="D206" t="s">
        <v>22</v>
      </c>
      <c r="E206" t="s">
        <v>18</v>
      </c>
      <c r="F206" t="s">
        <v>95</v>
      </c>
      <c r="G206" t="s">
        <v>12</v>
      </c>
    </row>
    <row r="207" spans="1:7" x14ac:dyDescent="0.3">
      <c r="A207" s="1">
        <v>46169</v>
      </c>
      <c r="B207" t="s">
        <v>29</v>
      </c>
      <c r="C207" t="s">
        <v>37</v>
      </c>
      <c r="D207" t="s">
        <v>96</v>
      </c>
      <c r="E207" t="s">
        <v>10</v>
      </c>
      <c r="F207" t="s">
        <v>95</v>
      </c>
      <c r="G207" t="s">
        <v>12</v>
      </c>
    </row>
    <row r="208" spans="1:7" x14ac:dyDescent="0.3">
      <c r="A208" s="1">
        <v>46169</v>
      </c>
      <c r="B208" t="s">
        <v>7</v>
      </c>
      <c r="C208" t="s">
        <v>8</v>
      </c>
      <c r="D208" t="s">
        <v>17</v>
      </c>
      <c r="E208" t="s">
        <v>18</v>
      </c>
      <c r="F208" t="s">
        <v>95</v>
      </c>
      <c r="G208" t="s">
        <v>12</v>
      </c>
    </row>
    <row r="209" spans="1:7" x14ac:dyDescent="0.3">
      <c r="A209" s="1">
        <v>46169</v>
      </c>
      <c r="B209" t="s">
        <v>7</v>
      </c>
      <c r="C209" t="s">
        <v>8</v>
      </c>
      <c r="D209" t="s">
        <v>89</v>
      </c>
      <c r="E209" t="s">
        <v>18</v>
      </c>
      <c r="F209" t="s">
        <v>97</v>
      </c>
      <c r="G209" t="s">
        <v>12</v>
      </c>
    </row>
    <row r="210" spans="1:7" x14ac:dyDescent="0.3">
      <c r="A210" s="1">
        <v>46169</v>
      </c>
      <c r="B210" t="s">
        <v>7</v>
      </c>
      <c r="C210" t="s">
        <v>8</v>
      </c>
      <c r="D210" t="s">
        <v>22</v>
      </c>
      <c r="E210" t="s">
        <v>18</v>
      </c>
      <c r="F210" t="s">
        <v>97</v>
      </c>
      <c r="G210" t="s">
        <v>16</v>
      </c>
    </row>
    <row r="211" spans="1:7" x14ac:dyDescent="0.3">
      <c r="A211" s="1">
        <v>46169</v>
      </c>
      <c r="B211" t="s">
        <v>7</v>
      </c>
      <c r="C211" t="s">
        <v>8</v>
      </c>
      <c r="D211" t="s">
        <v>17</v>
      </c>
      <c r="E211" t="s">
        <v>18</v>
      </c>
      <c r="F211" t="s">
        <v>97</v>
      </c>
      <c r="G211" t="s">
        <v>16</v>
      </c>
    </row>
    <row r="212" spans="1:7" x14ac:dyDescent="0.3">
      <c r="A212" s="1">
        <v>46169</v>
      </c>
      <c r="B212" t="s">
        <v>7</v>
      </c>
      <c r="C212" t="s">
        <v>13</v>
      </c>
      <c r="D212" t="s">
        <v>78</v>
      </c>
      <c r="E212" t="s">
        <v>18</v>
      </c>
      <c r="F212" t="s">
        <v>97</v>
      </c>
      <c r="G212" t="s">
        <v>12</v>
      </c>
    </row>
    <row r="213" spans="1:7" x14ac:dyDescent="0.3">
      <c r="A213" s="1">
        <v>46169</v>
      </c>
      <c r="B213" t="s">
        <v>7</v>
      </c>
      <c r="C213" t="s">
        <v>13</v>
      </c>
      <c r="D213" t="s">
        <v>98</v>
      </c>
      <c r="E213" t="s">
        <v>18</v>
      </c>
      <c r="F213" t="s">
        <v>97</v>
      </c>
      <c r="G213" t="s">
        <v>16</v>
      </c>
    </row>
    <row r="214" spans="1:7" x14ac:dyDescent="0.3">
      <c r="A214" s="1">
        <v>46169</v>
      </c>
      <c r="B214" t="s">
        <v>7</v>
      </c>
      <c r="C214" t="s">
        <v>8</v>
      </c>
      <c r="D214" t="s">
        <v>8</v>
      </c>
      <c r="E214" t="s">
        <v>10</v>
      </c>
      <c r="F214" t="s">
        <v>97</v>
      </c>
      <c r="G214" t="s">
        <v>12</v>
      </c>
    </row>
    <row r="215" spans="1:7" x14ac:dyDescent="0.3">
      <c r="A215" s="1">
        <v>46169</v>
      </c>
      <c r="B215" t="s">
        <v>7</v>
      </c>
      <c r="C215" t="s">
        <v>8</v>
      </c>
      <c r="D215" t="s">
        <v>17</v>
      </c>
      <c r="E215" t="s">
        <v>18</v>
      </c>
      <c r="F215" t="s">
        <v>97</v>
      </c>
      <c r="G215" t="s">
        <v>16</v>
      </c>
    </row>
    <row r="216" spans="1:7" x14ac:dyDescent="0.3">
      <c r="A216" s="1">
        <v>46169</v>
      </c>
      <c r="B216" t="s">
        <v>7</v>
      </c>
      <c r="C216" t="s">
        <v>8</v>
      </c>
      <c r="D216" t="s">
        <v>17</v>
      </c>
      <c r="E216" t="s">
        <v>18</v>
      </c>
      <c r="F216" t="s">
        <v>97</v>
      </c>
      <c r="G216" t="s">
        <v>12</v>
      </c>
    </row>
    <row r="217" spans="1:7" x14ac:dyDescent="0.3">
      <c r="A217" s="1">
        <v>46169</v>
      </c>
      <c r="B217" t="s">
        <v>7</v>
      </c>
      <c r="C217" t="s">
        <v>8</v>
      </c>
      <c r="D217" t="s">
        <v>22</v>
      </c>
      <c r="E217" t="s">
        <v>10</v>
      </c>
      <c r="F217" t="s">
        <v>97</v>
      </c>
      <c r="G217" t="s">
        <v>16</v>
      </c>
    </row>
    <row r="218" spans="1:7" x14ac:dyDescent="0.3">
      <c r="A218" s="1">
        <v>46169</v>
      </c>
      <c r="B218" t="s">
        <v>7</v>
      </c>
      <c r="C218" t="s">
        <v>8</v>
      </c>
      <c r="D218" t="s">
        <v>89</v>
      </c>
      <c r="E218" t="s">
        <v>18</v>
      </c>
      <c r="F218" t="s">
        <v>97</v>
      </c>
      <c r="G218" t="s">
        <v>16</v>
      </c>
    </row>
    <row r="219" spans="1:7" x14ac:dyDescent="0.3">
      <c r="A219" s="1">
        <v>46169</v>
      </c>
      <c r="B219" t="s">
        <v>7</v>
      </c>
      <c r="C219" t="s">
        <v>8</v>
      </c>
      <c r="D219" t="s">
        <v>17</v>
      </c>
      <c r="E219" t="s">
        <v>18</v>
      </c>
      <c r="F219" t="s">
        <v>97</v>
      </c>
      <c r="G219" t="s">
        <v>12</v>
      </c>
    </row>
    <row r="220" spans="1:7" x14ac:dyDescent="0.3">
      <c r="A220" s="1">
        <v>46169</v>
      </c>
      <c r="B220" t="s">
        <v>7</v>
      </c>
      <c r="C220" t="s">
        <v>8</v>
      </c>
      <c r="D220" t="s">
        <v>42</v>
      </c>
      <c r="E220" t="s">
        <v>18</v>
      </c>
      <c r="F220" t="s">
        <v>99</v>
      </c>
      <c r="G220" t="s">
        <v>12</v>
      </c>
    </row>
    <row r="221" spans="1:7" x14ac:dyDescent="0.3">
      <c r="A221" s="1">
        <v>46169</v>
      </c>
      <c r="B221" t="s">
        <v>7</v>
      </c>
      <c r="C221" t="s">
        <v>26</v>
      </c>
      <c r="D221" t="s">
        <v>26</v>
      </c>
      <c r="E221" t="s">
        <v>18</v>
      </c>
      <c r="F221" t="s">
        <v>99</v>
      </c>
      <c r="G221" t="s">
        <v>12</v>
      </c>
    </row>
    <row r="222" spans="1:7" x14ac:dyDescent="0.3">
      <c r="A222" s="1">
        <v>46169</v>
      </c>
      <c r="B222" t="s">
        <v>7</v>
      </c>
      <c r="C222" t="s">
        <v>8</v>
      </c>
      <c r="D222" t="s">
        <v>8</v>
      </c>
      <c r="E222" t="s">
        <v>18</v>
      </c>
      <c r="F222" t="s">
        <v>99</v>
      </c>
      <c r="G222" t="s">
        <v>12</v>
      </c>
    </row>
    <row r="223" spans="1:7" x14ac:dyDescent="0.3">
      <c r="A223" s="1">
        <v>46169</v>
      </c>
      <c r="B223" t="s">
        <v>7</v>
      </c>
      <c r="C223" t="s">
        <v>8</v>
      </c>
      <c r="D223" t="s">
        <v>17</v>
      </c>
      <c r="E223" t="s">
        <v>18</v>
      </c>
      <c r="F223" t="s">
        <v>99</v>
      </c>
      <c r="G223" t="s">
        <v>16</v>
      </c>
    </row>
    <row r="224" spans="1:7" x14ac:dyDescent="0.3">
      <c r="A224" s="1">
        <v>46169</v>
      </c>
      <c r="B224" t="s">
        <v>7</v>
      </c>
      <c r="C224" t="s">
        <v>13</v>
      </c>
      <c r="D224" t="s">
        <v>100</v>
      </c>
      <c r="E224" t="s">
        <v>18</v>
      </c>
      <c r="F224" t="s">
        <v>99</v>
      </c>
      <c r="G224" t="s">
        <v>16</v>
      </c>
    </row>
    <row r="225" spans="1:7" x14ac:dyDescent="0.3">
      <c r="A225" s="1">
        <v>46169</v>
      </c>
      <c r="B225" t="s">
        <v>7</v>
      </c>
      <c r="C225" t="s">
        <v>8</v>
      </c>
      <c r="D225" t="s">
        <v>22</v>
      </c>
      <c r="E225" t="s">
        <v>18</v>
      </c>
      <c r="F225" t="s">
        <v>99</v>
      </c>
      <c r="G225" t="s">
        <v>12</v>
      </c>
    </row>
    <row r="226" spans="1:7" x14ac:dyDescent="0.3">
      <c r="A226" s="1">
        <v>46169</v>
      </c>
      <c r="B226" t="s">
        <v>7</v>
      </c>
      <c r="C226" t="s">
        <v>8</v>
      </c>
      <c r="D226" t="s">
        <v>22</v>
      </c>
      <c r="E226" t="s">
        <v>18</v>
      </c>
      <c r="F226" t="s">
        <v>99</v>
      </c>
      <c r="G226" t="s">
        <v>12</v>
      </c>
    </row>
    <row r="227" spans="1:7" x14ac:dyDescent="0.3">
      <c r="A227" s="1">
        <v>46169</v>
      </c>
      <c r="B227" t="s">
        <v>7</v>
      </c>
      <c r="C227" t="s">
        <v>8</v>
      </c>
      <c r="D227" t="s">
        <v>17</v>
      </c>
      <c r="E227" t="s">
        <v>18</v>
      </c>
      <c r="F227" t="s">
        <v>99</v>
      </c>
      <c r="G227" t="s">
        <v>12</v>
      </c>
    </row>
    <row r="228" spans="1:7" x14ac:dyDescent="0.3">
      <c r="A228" s="1">
        <v>46169</v>
      </c>
      <c r="B228" t="s">
        <v>7</v>
      </c>
      <c r="C228" t="s">
        <v>13</v>
      </c>
      <c r="D228" t="s">
        <v>84</v>
      </c>
      <c r="E228" t="s">
        <v>18</v>
      </c>
      <c r="F228" t="s">
        <v>99</v>
      </c>
      <c r="G228" t="s">
        <v>12</v>
      </c>
    </row>
    <row r="229" spans="1:7" x14ac:dyDescent="0.3">
      <c r="A229" s="1">
        <v>46169</v>
      </c>
      <c r="B229" t="s">
        <v>7</v>
      </c>
      <c r="C229" t="s">
        <v>8</v>
      </c>
      <c r="D229" t="s">
        <v>8</v>
      </c>
      <c r="E229" t="s">
        <v>18</v>
      </c>
      <c r="F229" t="s">
        <v>99</v>
      </c>
      <c r="G229" t="s">
        <v>12</v>
      </c>
    </row>
    <row r="230" spans="1:7" x14ac:dyDescent="0.3">
      <c r="A230" s="1">
        <v>46169</v>
      </c>
      <c r="B230" t="s">
        <v>7</v>
      </c>
      <c r="C230" t="s">
        <v>26</v>
      </c>
      <c r="D230" t="s">
        <v>101</v>
      </c>
      <c r="E230" t="s">
        <v>18</v>
      </c>
      <c r="F230" t="s">
        <v>99</v>
      </c>
      <c r="G230" t="s">
        <v>16</v>
      </c>
    </row>
    <row r="231" spans="1:7" x14ac:dyDescent="0.3">
      <c r="A231" s="1">
        <v>46169</v>
      </c>
      <c r="B231" t="s">
        <v>7</v>
      </c>
      <c r="C231" t="s">
        <v>7</v>
      </c>
      <c r="D231" t="s">
        <v>86</v>
      </c>
      <c r="E231" t="s">
        <v>18</v>
      </c>
      <c r="F231" t="s">
        <v>99</v>
      </c>
      <c r="G231" t="s">
        <v>16</v>
      </c>
    </row>
    <row r="232" spans="1:7" x14ac:dyDescent="0.3">
      <c r="A232" s="1">
        <v>46169</v>
      </c>
      <c r="B232" t="s">
        <v>7</v>
      </c>
      <c r="C232" t="s">
        <v>8</v>
      </c>
      <c r="D232" t="s">
        <v>17</v>
      </c>
      <c r="E232" t="s">
        <v>18</v>
      </c>
      <c r="F232" t="s">
        <v>102</v>
      </c>
      <c r="G232" t="s">
        <v>16</v>
      </c>
    </row>
    <row r="233" spans="1:7" x14ac:dyDescent="0.3">
      <c r="A233" s="1">
        <v>46169</v>
      </c>
      <c r="B233" t="s">
        <v>73</v>
      </c>
      <c r="C233" t="s">
        <v>74</v>
      </c>
      <c r="D233" t="s">
        <v>88</v>
      </c>
      <c r="E233" t="s">
        <v>10</v>
      </c>
      <c r="F233" t="s">
        <v>102</v>
      </c>
      <c r="G233" t="s">
        <v>12</v>
      </c>
    </row>
    <row r="234" spans="1:7" x14ac:dyDescent="0.3">
      <c r="A234" s="1">
        <v>46169</v>
      </c>
      <c r="B234" t="s">
        <v>7</v>
      </c>
      <c r="C234" t="s">
        <v>8</v>
      </c>
      <c r="D234" t="s">
        <v>8</v>
      </c>
      <c r="E234" t="s">
        <v>18</v>
      </c>
      <c r="F234" t="s">
        <v>102</v>
      </c>
      <c r="G234" t="s">
        <v>12</v>
      </c>
    </row>
    <row r="235" spans="1:7" x14ac:dyDescent="0.3">
      <c r="A235" s="1">
        <v>46169</v>
      </c>
      <c r="B235" t="s">
        <v>7</v>
      </c>
      <c r="C235" t="s">
        <v>8</v>
      </c>
      <c r="D235" t="s">
        <v>17</v>
      </c>
      <c r="E235" t="s">
        <v>18</v>
      </c>
      <c r="F235" t="s">
        <v>102</v>
      </c>
      <c r="G235" t="s">
        <v>12</v>
      </c>
    </row>
    <row r="236" spans="1:7" x14ac:dyDescent="0.3">
      <c r="A236" s="1">
        <v>46169</v>
      </c>
      <c r="B236" t="s">
        <v>29</v>
      </c>
      <c r="C236" t="s">
        <v>29</v>
      </c>
      <c r="D236" t="s">
        <v>29</v>
      </c>
      <c r="E236" t="s">
        <v>18</v>
      </c>
      <c r="F236" t="s">
        <v>102</v>
      </c>
      <c r="G236" t="s">
        <v>12</v>
      </c>
    </row>
    <row r="237" spans="1:7" x14ac:dyDescent="0.3">
      <c r="A237" s="1">
        <v>46169</v>
      </c>
      <c r="B237" t="s">
        <v>7</v>
      </c>
      <c r="C237" t="s">
        <v>26</v>
      </c>
      <c r="D237" t="s">
        <v>103</v>
      </c>
      <c r="E237" t="s">
        <v>18</v>
      </c>
      <c r="F237" t="s">
        <v>102</v>
      </c>
      <c r="G237" t="s">
        <v>16</v>
      </c>
    </row>
    <row r="238" spans="1:7" x14ac:dyDescent="0.3">
      <c r="A238" s="1">
        <v>46169</v>
      </c>
      <c r="B238" t="s">
        <v>7</v>
      </c>
      <c r="C238" t="s">
        <v>8</v>
      </c>
      <c r="D238" t="s">
        <v>8</v>
      </c>
      <c r="E238" t="s">
        <v>18</v>
      </c>
      <c r="F238" t="s">
        <v>102</v>
      </c>
      <c r="G238" t="s">
        <v>12</v>
      </c>
    </row>
    <row r="239" spans="1:7" x14ac:dyDescent="0.3">
      <c r="A239" s="1">
        <v>46169</v>
      </c>
      <c r="B239" t="s">
        <v>46</v>
      </c>
      <c r="C239" t="s">
        <v>46</v>
      </c>
      <c r="D239" t="s">
        <v>104</v>
      </c>
      <c r="E239" t="s">
        <v>18</v>
      </c>
      <c r="F239" t="s">
        <v>102</v>
      </c>
      <c r="G239" t="s">
        <v>16</v>
      </c>
    </row>
    <row r="240" spans="1:7" x14ac:dyDescent="0.3">
      <c r="A240" s="1">
        <v>46169</v>
      </c>
      <c r="B240" t="s">
        <v>7</v>
      </c>
      <c r="C240" t="s">
        <v>13</v>
      </c>
      <c r="D240" t="s">
        <v>105</v>
      </c>
      <c r="E240" t="s">
        <v>18</v>
      </c>
      <c r="F240" t="s">
        <v>102</v>
      </c>
      <c r="G240" t="s">
        <v>16</v>
      </c>
    </row>
    <row r="241" spans="1:7" x14ac:dyDescent="0.3">
      <c r="A241" s="1">
        <v>46169</v>
      </c>
      <c r="B241" t="s">
        <v>7</v>
      </c>
      <c r="C241" t="s">
        <v>8</v>
      </c>
      <c r="D241" t="s">
        <v>106</v>
      </c>
      <c r="E241" t="s">
        <v>18</v>
      </c>
      <c r="F241" t="s">
        <v>102</v>
      </c>
      <c r="G241" t="s">
        <v>12</v>
      </c>
    </row>
    <row r="242" spans="1:7" x14ac:dyDescent="0.3">
      <c r="A242" s="1">
        <v>46169</v>
      </c>
      <c r="B242" t="s">
        <v>7</v>
      </c>
      <c r="C242" t="s">
        <v>26</v>
      </c>
      <c r="D242" t="s">
        <v>107</v>
      </c>
      <c r="E242" t="s">
        <v>18</v>
      </c>
      <c r="F242" t="s">
        <v>102</v>
      </c>
      <c r="G242" t="s">
        <v>12</v>
      </c>
    </row>
    <row r="243" spans="1:7" x14ac:dyDescent="0.3">
      <c r="A243" s="1">
        <v>46169</v>
      </c>
      <c r="B243" t="s">
        <v>73</v>
      </c>
      <c r="C243" t="s">
        <v>73</v>
      </c>
      <c r="D243" t="s">
        <v>108</v>
      </c>
      <c r="E243" t="s">
        <v>18</v>
      </c>
      <c r="F243" t="s">
        <v>102</v>
      </c>
      <c r="G243" t="s">
        <v>12</v>
      </c>
    </row>
    <row r="244" spans="1:7" x14ac:dyDescent="0.3">
      <c r="A244" s="1">
        <v>46169</v>
      </c>
      <c r="B244" t="s">
        <v>7</v>
      </c>
      <c r="C244" t="s">
        <v>8</v>
      </c>
      <c r="D244" t="s">
        <v>109</v>
      </c>
      <c r="E244" t="s">
        <v>18</v>
      </c>
      <c r="F244" t="s">
        <v>102</v>
      </c>
      <c r="G244" t="s">
        <v>16</v>
      </c>
    </row>
    <row r="245" spans="1:7" x14ac:dyDescent="0.3">
      <c r="A245" s="1">
        <v>46169</v>
      </c>
      <c r="B245" t="s">
        <v>7</v>
      </c>
      <c r="C245" t="s">
        <v>8</v>
      </c>
      <c r="D245" t="s">
        <v>17</v>
      </c>
      <c r="E245" t="s">
        <v>18</v>
      </c>
      <c r="F245" t="s">
        <v>102</v>
      </c>
      <c r="G245" t="s">
        <v>16</v>
      </c>
    </row>
    <row r="246" spans="1:7" x14ac:dyDescent="0.3">
      <c r="A246" s="1">
        <v>46169</v>
      </c>
      <c r="B246" t="s">
        <v>7</v>
      </c>
      <c r="C246" t="s">
        <v>8</v>
      </c>
      <c r="D246" t="s">
        <v>17</v>
      </c>
      <c r="E246" t="s">
        <v>18</v>
      </c>
      <c r="F246" t="s">
        <v>102</v>
      </c>
      <c r="G246" t="s">
        <v>12</v>
      </c>
    </row>
    <row r="247" spans="1:7" x14ac:dyDescent="0.3">
      <c r="A247" s="1">
        <v>46169</v>
      </c>
      <c r="B247" t="s">
        <v>7</v>
      </c>
      <c r="C247" t="s">
        <v>8</v>
      </c>
      <c r="D247" t="s">
        <v>22</v>
      </c>
      <c r="E247" t="s">
        <v>18</v>
      </c>
      <c r="F247" t="s">
        <v>102</v>
      </c>
      <c r="G247" t="s">
        <v>16</v>
      </c>
    </row>
    <row r="248" spans="1:7" x14ac:dyDescent="0.3">
      <c r="A248" s="1">
        <v>46169</v>
      </c>
      <c r="B248" t="s">
        <v>7</v>
      </c>
      <c r="C248" t="s">
        <v>8</v>
      </c>
      <c r="D248" t="s">
        <v>24</v>
      </c>
      <c r="E248" t="s">
        <v>10</v>
      </c>
      <c r="F248" t="s">
        <v>102</v>
      </c>
      <c r="G248" t="s">
        <v>12</v>
      </c>
    </row>
    <row r="249" spans="1:7" x14ac:dyDescent="0.3">
      <c r="A249" s="1">
        <v>46169</v>
      </c>
      <c r="B249" t="s">
        <v>7</v>
      </c>
      <c r="C249" t="s">
        <v>8</v>
      </c>
      <c r="D249" t="s">
        <v>17</v>
      </c>
      <c r="E249" t="s">
        <v>18</v>
      </c>
      <c r="F249" t="s">
        <v>102</v>
      </c>
      <c r="G249" t="s">
        <v>12</v>
      </c>
    </row>
    <row r="250" spans="1:7" x14ac:dyDescent="0.3">
      <c r="A250" s="1">
        <v>46169</v>
      </c>
      <c r="B250" t="s">
        <v>7</v>
      </c>
      <c r="C250" t="s">
        <v>8</v>
      </c>
      <c r="D250" t="s">
        <v>17</v>
      </c>
      <c r="E250" t="s">
        <v>10</v>
      </c>
      <c r="F250" t="s">
        <v>102</v>
      </c>
      <c r="G250" t="s">
        <v>12</v>
      </c>
    </row>
    <row r="251" spans="1:7" x14ac:dyDescent="0.3">
      <c r="A251" s="1">
        <v>46169</v>
      </c>
      <c r="B251" t="s">
        <v>7</v>
      </c>
      <c r="C251" t="s">
        <v>8</v>
      </c>
      <c r="D251" t="s">
        <v>24</v>
      </c>
      <c r="E251" t="s">
        <v>18</v>
      </c>
      <c r="F251" t="s">
        <v>102</v>
      </c>
      <c r="G251" t="s">
        <v>12</v>
      </c>
    </row>
    <row r="252" spans="1:7" x14ac:dyDescent="0.3">
      <c r="A252" s="1">
        <v>46169</v>
      </c>
      <c r="B252" t="s">
        <v>7</v>
      </c>
      <c r="C252" t="s">
        <v>8</v>
      </c>
      <c r="D252" t="s">
        <v>17</v>
      </c>
      <c r="E252" t="s">
        <v>18</v>
      </c>
      <c r="F252" t="s">
        <v>102</v>
      </c>
      <c r="G252" t="s">
        <v>16</v>
      </c>
    </row>
    <row r="253" spans="1:7" x14ac:dyDescent="0.3">
      <c r="A253" s="1">
        <v>46169</v>
      </c>
      <c r="B253" t="s">
        <v>7</v>
      </c>
      <c r="C253" t="s">
        <v>8</v>
      </c>
      <c r="D253" t="s">
        <v>17</v>
      </c>
      <c r="E253" t="s">
        <v>18</v>
      </c>
      <c r="F253" t="s">
        <v>102</v>
      </c>
      <c r="G253" t="s">
        <v>12</v>
      </c>
    </row>
    <row r="254" spans="1:7" x14ac:dyDescent="0.3">
      <c r="A254" s="1">
        <v>46169</v>
      </c>
      <c r="B254" t="s">
        <v>7</v>
      </c>
      <c r="C254" t="s">
        <v>8</v>
      </c>
      <c r="D254" t="s">
        <v>8</v>
      </c>
      <c r="E254" t="s">
        <v>10</v>
      </c>
      <c r="F254" t="s">
        <v>102</v>
      </c>
      <c r="G254" t="s">
        <v>12</v>
      </c>
    </row>
    <row r="255" spans="1:7" x14ac:dyDescent="0.3">
      <c r="A255" s="1">
        <v>46169</v>
      </c>
      <c r="B255" t="s">
        <v>46</v>
      </c>
      <c r="C255" t="s">
        <v>46</v>
      </c>
      <c r="D255" t="s">
        <v>110</v>
      </c>
      <c r="E255" t="s">
        <v>18</v>
      </c>
      <c r="F255" t="s">
        <v>102</v>
      </c>
      <c r="G255" t="s">
        <v>12</v>
      </c>
    </row>
    <row r="256" spans="1:7" x14ac:dyDescent="0.3">
      <c r="A256" s="1">
        <v>46169</v>
      </c>
      <c r="B256" t="s">
        <v>7</v>
      </c>
      <c r="C256" t="s">
        <v>13</v>
      </c>
      <c r="D256" t="s">
        <v>98</v>
      </c>
      <c r="E256" t="s">
        <v>41</v>
      </c>
      <c r="F256" t="s">
        <v>102</v>
      </c>
      <c r="G256" t="s">
        <v>12</v>
      </c>
    </row>
    <row r="257" spans="1:7" x14ac:dyDescent="0.3">
      <c r="A257" s="1">
        <v>46169</v>
      </c>
      <c r="B257" t="s">
        <v>7</v>
      </c>
      <c r="C257" t="s">
        <v>8</v>
      </c>
      <c r="D257" t="s">
        <v>22</v>
      </c>
      <c r="E257" t="s">
        <v>10</v>
      </c>
      <c r="F257" t="s">
        <v>102</v>
      </c>
      <c r="G257" t="s">
        <v>12</v>
      </c>
    </row>
    <row r="258" spans="1:7" x14ac:dyDescent="0.3">
      <c r="A258" s="1">
        <v>46169</v>
      </c>
      <c r="B258" t="s">
        <v>7</v>
      </c>
      <c r="C258" t="s">
        <v>8</v>
      </c>
      <c r="D258" t="s">
        <v>42</v>
      </c>
      <c r="E258" t="s">
        <v>18</v>
      </c>
      <c r="F258" t="s">
        <v>111</v>
      </c>
      <c r="G258" t="s">
        <v>12</v>
      </c>
    </row>
    <row r="259" spans="1:7" x14ac:dyDescent="0.3">
      <c r="A259" s="1">
        <v>46169</v>
      </c>
      <c r="B259" t="s">
        <v>7</v>
      </c>
      <c r="C259" t="s">
        <v>8</v>
      </c>
      <c r="D259" t="s">
        <v>9</v>
      </c>
      <c r="E259" t="s">
        <v>18</v>
      </c>
      <c r="F259" t="s">
        <v>102</v>
      </c>
      <c r="G259" t="s">
        <v>12</v>
      </c>
    </row>
    <row r="260" spans="1:7" x14ac:dyDescent="0.3">
      <c r="A260" s="1">
        <v>46169</v>
      </c>
      <c r="B260" t="s">
        <v>7</v>
      </c>
      <c r="C260" t="s">
        <v>8</v>
      </c>
      <c r="D260" t="s">
        <v>8</v>
      </c>
      <c r="E260" t="s">
        <v>18</v>
      </c>
      <c r="F260" t="s">
        <v>102</v>
      </c>
      <c r="G260" t="s">
        <v>16</v>
      </c>
    </row>
    <row r="261" spans="1:7" x14ac:dyDescent="0.3">
      <c r="A261" s="1">
        <v>46169</v>
      </c>
      <c r="B261" t="s">
        <v>7</v>
      </c>
      <c r="C261" t="s">
        <v>48</v>
      </c>
      <c r="D261" t="s">
        <v>112</v>
      </c>
      <c r="E261" t="s">
        <v>18</v>
      </c>
      <c r="F261" t="s">
        <v>102</v>
      </c>
      <c r="G261" t="s">
        <v>12</v>
      </c>
    </row>
    <row r="262" spans="1:7" x14ac:dyDescent="0.3">
      <c r="A262" s="1">
        <v>46169</v>
      </c>
      <c r="B262" t="s">
        <v>7</v>
      </c>
      <c r="C262" t="s">
        <v>8</v>
      </c>
      <c r="D262" t="s">
        <v>23</v>
      </c>
      <c r="E262" t="s">
        <v>18</v>
      </c>
      <c r="F262" t="s">
        <v>102</v>
      </c>
      <c r="G262" t="s">
        <v>12</v>
      </c>
    </row>
    <row r="263" spans="1:7" x14ac:dyDescent="0.3">
      <c r="A263" s="1">
        <v>46169</v>
      </c>
      <c r="B263" t="s">
        <v>7</v>
      </c>
      <c r="C263" t="s">
        <v>8</v>
      </c>
      <c r="D263" t="s">
        <v>17</v>
      </c>
      <c r="E263" t="s">
        <v>113</v>
      </c>
      <c r="F263" t="s">
        <v>102</v>
      </c>
      <c r="G263" t="s">
        <v>16</v>
      </c>
    </row>
    <row r="264" spans="1:7" x14ac:dyDescent="0.3">
      <c r="A264" s="1">
        <v>46169</v>
      </c>
      <c r="B264" t="s">
        <v>7</v>
      </c>
      <c r="C264" t="s">
        <v>8</v>
      </c>
      <c r="D264" t="s">
        <v>17</v>
      </c>
      <c r="E264" t="s">
        <v>18</v>
      </c>
      <c r="F264" t="s">
        <v>102</v>
      </c>
      <c r="G264" t="s">
        <v>12</v>
      </c>
    </row>
    <row r="265" spans="1:7" x14ac:dyDescent="0.3">
      <c r="A265" s="1">
        <v>46169</v>
      </c>
      <c r="B265" t="s">
        <v>29</v>
      </c>
      <c r="C265" t="s">
        <v>29</v>
      </c>
      <c r="D265" t="s">
        <v>114</v>
      </c>
      <c r="E265" t="s">
        <v>18</v>
      </c>
      <c r="F265" t="s">
        <v>102</v>
      </c>
      <c r="G265" t="s">
        <v>12</v>
      </c>
    </row>
    <row r="266" spans="1:7" x14ac:dyDescent="0.3">
      <c r="A266" s="1">
        <v>46169</v>
      </c>
      <c r="B266" t="s">
        <v>7</v>
      </c>
      <c r="C266" t="s">
        <v>26</v>
      </c>
      <c r="D266" t="s">
        <v>26</v>
      </c>
      <c r="E266" t="s">
        <v>43</v>
      </c>
      <c r="F266" t="s">
        <v>102</v>
      </c>
      <c r="G266" t="s">
        <v>12</v>
      </c>
    </row>
    <row r="267" spans="1:7" x14ac:dyDescent="0.3">
      <c r="A267" s="1">
        <v>46169</v>
      </c>
      <c r="B267" t="s">
        <v>7</v>
      </c>
      <c r="C267" t="s">
        <v>8</v>
      </c>
      <c r="D267" t="s">
        <v>8</v>
      </c>
      <c r="E267" t="s">
        <v>45</v>
      </c>
      <c r="F267" t="s">
        <v>102</v>
      </c>
      <c r="G267" t="s">
        <v>12</v>
      </c>
    </row>
    <row r="268" spans="1:7" x14ac:dyDescent="0.3">
      <c r="A268" s="1">
        <v>46169</v>
      </c>
      <c r="B268" t="s">
        <v>7</v>
      </c>
      <c r="C268" t="s">
        <v>8</v>
      </c>
      <c r="D268" t="s">
        <v>54</v>
      </c>
      <c r="E268" t="s">
        <v>41</v>
      </c>
      <c r="F268" t="s">
        <v>102</v>
      </c>
      <c r="G268" t="s">
        <v>12</v>
      </c>
    </row>
    <row r="269" spans="1:7" x14ac:dyDescent="0.3">
      <c r="A269" s="1">
        <v>46169</v>
      </c>
      <c r="B269" t="s">
        <v>7</v>
      </c>
      <c r="C269" t="s">
        <v>61</v>
      </c>
      <c r="D269" t="s">
        <v>61</v>
      </c>
      <c r="E269" t="s">
        <v>10</v>
      </c>
      <c r="F269" t="s">
        <v>115</v>
      </c>
      <c r="G269" t="s">
        <v>12</v>
      </c>
    </row>
    <row r="270" spans="1:7" x14ac:dyDescent="0.3">
      <c r="A270" s="1">
        <v>46169</v>
      </c>
      <c r="B270" t="s">
        <v>50</v>
      </c>
      <c r="C270" t="s">
        <v>51</v>
      </c>
      <c r="D270" t="s">
        <v>50</v>
      </c>
      <c r="E270" t="s">
        <v>18</v>
      </c>
      <c r="F270" t="s">
        <v>116</v>
      </c>
      <c r="G270" t="s">
        <v>16</v>
      </c>
    </row>
    <row r="271" spans="1:7" x14ac:dyDescent="0.3">
      <c r="A271" s="1">
        <v>46169</v>
      </c>
      <c r="B271" t="s">
        <v>7</v>
      </c>
      <c r="C271" t="s">
        <v>8</v>
      </c>
      <c r="D271" t="s">
        <v>8</v>
      </c>
      <c r="E271" t="s">
        <v>18</v>
      </c>
      <c r="F271" t="s">
        <v>116</v>
      </c>
      <c r="G271" t="s">
        <v>16</v>
      </c>
    </row>
    <row r="272" spans="1:7" x14ac:dyDescent="0.3">
      <c r="A272" s="1">
        <v>46169</v>
      </c>
      <c r="B272" t="s">
        <v>73</v>
      </c>
      <c r="C272" t="s">
        <v>74</v>
      </c>
      <c r="D272" t="s">
        <v>74</v>
      </c>
      <c r="E272" t="s">
        <v>43</v>
      </c>
      <c r="F272" t="s">
        <v>116</v>
      </c>
      <c r="G272" t="s">
        <v>16</v>
      </c>
    </row>
    <row r="273" spans="1:7" x14ac:dyDescent="0.3">
      <c r="A273" s="1">
        <v>46169</v>
      </c>
      <c r="B273" t="s">
        <v>7</v>
      </c>
      <c r="C273" t="s">
        <v>8</v>
      </c>
      <c r="D273" t="s">
        <v>8</v>
      </c>
      <c r="E273" t="s">
        <v>18</v>
      </c>
      <c r="F273" t="s">
        <v>116</v>
      </c>
      <c r="G273" t="s">
        <v>16</v>
      </c>
    </row>
    <row r="274" spans="1:7" x14ac:dyDescent="0.3">
      <c r="A274" s="1">
        <v>46169</v>
      </c>
      <c r="B274" t="s">
        <v>7</v>
      </c>
      <c r="C274" t="s">
        <v>8</v>
      </c>
      <c r="D274" t="s">
        <v>22</v>
      </c>
      <c r="E274" t="s">
        <v>18</v>
      </c>
      <c r="F274" t="s">
        <v>116</v>
      </c>
      <c r="G274" t="s">
        <v>16</v>
      </c>
    </row>
    <row r="275" spans="1:7" x14ac:dyDescent="0.3">
      <c r="A275" s="1">
        <v>46169</v>
      </c>
      <c r="B275" t="s">
        <v>7</v>
      </c>
      <c r="C275" t="s">
        <v>26</v>
      </c>
      <c r="D275" t="s">
        <v>26</v>
      </c>
      <c r="E275" t="s">
        <v>10</v>
      </c>
      <c r="F275" t="s">
        <v>116</v>
      </c>
      <c r="G275" t="s">
        <v>16</v>
      </c>
    </row>
    <row r="276" spans="1:7" x14ac:dyDescent="0.3">
      <c r="A276" s="1">
        <v>46169</v>
      </c>
      <c r="B276" t="s">
        <v>7</v>
      </c>
      <c r="C276" t="s">
        <v>8</v>
      </c>
      <c r="D276" t="s">
        <v>23</v>
      </c>
      <c r="E276" t="s">
        <v>117</v>
      </c>
      <c r="F276" t="s">
        <v>116</v>
      </c>
      <c r="G276" t="s">
        <v>16</v>
      </c>
    </row>
    <row r="277" spans="1:7" x14ac:dyDescent="0.3">
      <c r="A277" s="1">
        <v>46169</v>
      </c>
      <c r="B277" t="s">
        <v>7</v>
      </c>
      <c r="C277" t="s">
        <v>8</v>
      </c>
      <c r="D277" t="s">
        <v>42</v>
      </c>
      <c r="E277" t="s">
        <v>10</v>
      </c>
      <c r="F277" t="s">
        <v>116</v>
      </c>
      <c r="G277" t="s">
        <v>12</v>
      </c>
    </row>
    <row r="278" spans="1:7" x14ac:dyDescent="0.3">
      <c r="A278" s="1">
        <v>46169</v>
      </c>
      <c r="B278" t="s">
        <v>73</v>
      </c>
      <c r="C278" t="s">
        <v>74</v>
      </c>
      <c r="D278" t="s">
        <v>74</v>
      </c>
      <c r="E278" t="s">
        <v>10</v>
      </c>
      <c r="F278" t="s">
        <v>116</v>
      </c>
      <c r="G278" t="s">
        <v>16</v>
      </c>
    </row>
    <row r="279" spans="1:7" x14ac:dyDescent="0.3">
      <c r="A279" s="1">
        <v>46169</v>
      </c>
      <c r="B279" t="s">
        <v>7</v>
      </c>
      <c r="C279" t="s">
        <v>61</v>
      </c>
      <c r="D279" t="s">
        <v>61</v>
      </c>
      <c r="E279" t="s">
        <v>10</v>
      </c>
      <c r="F279" t="s">
        <v>118</v>
      </c>
      <c r="G279" t="s">
        <v>12</v>
      </c>
    </row>
    <row r="280" spans="1:7" x14ac:dyDescent="0.3">
      <c r="A280" s="1">
        <v>46169</v>
      </c>
      <c r="B280" t="s">
        <v>7</v>
      </c>
      <c r="C280" t="s">
        <v>8</v>
      </c>
      <c r="D280" t="s">
        <v>17</v>
      </c>
      <c r="E280" t="s">
        <v>18</v>
      </c>
      <c r="F280" t="s">
        <v>116</v>
      </c>
      <c r="G280" t="s">
        <v>16</v>
      </c>
    </row>
    <row r="281" spans="1:7" x14ac:dyDescent="0.3">
      <c r="A281" s="1">
        <v>46169</v>
      </c>
      <c r="B281" t="s">
        <v>7</v>
      </c>
      <c r="C281" t="s">
        <v>8</v>
      </c>
      <c r="D281" t="s">
        <v>22</v>
      </c>
      <c r="E281" t="s">
        <v>18</v>
      </c>
      <c r="F281" t="s">
        <v>116</v>
      </c>
      <c r="G281" t="s">
        <v>16</v>
      </c>
    </row>
    <row r="282" spans="1:7" x14ac:dyDescent="0.3">
      <c r="A282" s="1">
        <v>46169</v>
      </c>
      <c r="B282" t="s">
        <v>29</v>
      </c>
      <c r="C282" t="s">
        <v>79</v>
      </c>
      <c r="D282" t="s">
        <v>119</v>
      </c>
      <c r="E282" t="s">
        <v>18</v>
      </c>
      <c r="F282" t="s">
        <v>116</v>
      </c>
      <c r="G282" t="s">
        <v>16</v>
      </c>
    </row>
    <row r="283" spans="1:7" x14ac:dyDescent="0.3">
      <c r="A283" s="1">
        <v>46169</v>
      </c>
      <c r="B283" t="s">
        <v>7</v>
      </c>
      <c r="C283" t="s">
        <v>8</v>
      </c>
      <c r="D283" t="s">
        <v>17</v>
      </c>
      <c r="E283" t="s">
        <v>18</v>
      </c>
      <c r="F283" t="s">
        <v>116</v>
      </c>
      <c r="G283" t="s">
        <v>12</v>
      </c>
    </row>
    <row r="284" spans="1:7" x14ac:dyDescent="0.3">
      <c r="A284" s="1">
        <v>46169</v>
      </c>
      <c r="B284" t="s">
        <v>7</v>
      </c>
      <c r="C284" t="s">
        <v>19</v>
      </c>
      <c r="D284" t="s">
        <v>120</v>
      </c>
      <c r="E284" t="s">
        <v>45</v>
      </c>
      <c r="F284" t="s">
        <v>116</v>
      </c>
      <c r="G284" t="s">
        <v>16</v>
      </c>
    </row>
    <row r="285" spans="1:7" x14ac:dyDescent="0.3">
      <c r="A285" s="1">
        <v>46169</v>
      </c>
      <c r="B285" t="s">
        <v>7</v>
      </c>
      <c r="C285" t="s">
        <v>8</v>
      </c>
      <c r="D285" t="s">
        <v>24</v>
      </c>
      <c r="E285" t="s">
        <v>18</v>
      </c>
      <c r="F285" t="s">
        <v>116</v>
      </c>
      <c r="G285" t="s">
        <v>16</v>
      </c>
    </row>
    <row r="286" spans="1:7" x14ac:dyDescent="0.3">
      <c r="A286" s="1">
        <v>46169</v>
      </c>
      <c r="B286" t="s">
        <v>7</v>
      </c>
      <c r="C286" t="s">
        <v>8</v>
      </c>
      <c r="D286" t="s">
        <v>89</v>
      </c>
      <c r="E286" t="s">
        <v>10</v>
      </c>
      <c r="F286" t="s">
        <v>116</v>
      </c>
      <c r="G286" t="s">
        <v>16</v>
      </c>
    </row>
    <row r="287" spans="1:7" x14ac:dyDescent="0.3">
      <c r="A287" s="1">
        <v>46169</v>
      </c>
      <c r="B287" t="s">
        <v>7</v>
      </c>
      <c r="C287" t="s">
        <v>8</v>
      </c>
      <c r="D287" t="s">
        <v>23</v>
      </c>
      <c r="E287" t="s">
        <v>10</v>
      </c>
      <c r="F287" t="s">
        <v>116</v>
      </c>
      <c r="G287" t="s">
        <v>16</v>
      </c>
    </row>
    <row r="288" spans="1:7" x14ac:dyDescent="0.3">
      <c r="A288" s="1">
        <v>46169</v>
      </c>
      <c r="B288" t="s">
        <v>7</v>
      </c>
      <c r="C288" t="s">
        <v>8</v>
      </c>
      <c r="D288" t="s">
        <v>89</v>
      </c>
      <c r="E288" t="s">
        <v>18</v>
      </c>
      <c r="F288" t="s">
        <v>116</v>
      </c>
      <c r="G288" t="s">
        <v>12</v>
      </c>
    </row>
    <row r="289" spans="1:7" x14ac:dyDescent="0.3">
      <c r="A289" s="1">
        <v>46169</v>
      </c>
      <c r="B289" t="s">
        <v>7</v>
      </c>
      <c r="C289" t="s">
        <v>7</v>
      </c>
      <c r="D289" t="s">
        <v>7</v>
      </c>
      <c r="E289" t="s">
        <v>10</v>
      </c>
      <c r="F289" t="s">
        <v>116</v>
      </c>
      <c r="G289" t="s">
        <v>16</v>
      </c>
    </row>
    <row r="290" spans="1:7" x14ac:dyDescent="0.3">
      <c r="A290" s="1">
        <v>46169</v>
      </c>
      <c r="B290" t="s">
        <v>50</v>
      </c>
      <c r="C290" t="s">
        <v>121</v>
      </c>
      <c r="D290" t="s">
        <v>122</v>
      </c>
      <c r="E290" t="s">
        <v>18</v>
      </c>
      <c r="F290" t="s">
        <v>116</v>
      </c>
      <c r="G290" t="s">
        <v>16</v>
      </c>
    </row>
    <row r="291" spans="1:7" x14ac:dyDescent="0.3">
      <c r="A291" s="1">
        <v>46169</v>
      </c>
      <c r="B291" t="s">
        <v>7</v>
      </c>
      <c r="C291" t="s">
        <v>8</v>
      </c>
      <c r="D291" t="s">
        <v>24</v>
      </c>
      <c r="E291" t="s">
        <v>10</v>
      </c>
      <c r="F291" t="s">
        <v>116</v>
      </c>
      <c r="G291" t="s">
        <v>16</v>
      </c>
    </row>
    <row r="292" spans="1:7" x14ac:dyDescent="0.3">
      <c r="A292" s="1">
        <v>46169</v>
      </c>
      <c r="B292" t="s">
        <v>7</v>
      </c>
      <c r="C292" t="s">
        <v>8</v>
      </c>
      <c r="D292" t="s">
        <v>109</v>
      </c>
      <c r="E292" t="s">
        <v>18</v>
      </c>
      <c r="F292" t="s">
        <v>116</v>
      </c>
      <c r="G292" t="s">
        <v>16</v>
      </c>
    </row>
    <row r="293" spans="1:7" x14ac:dyDescent="0.3">
      <c r="A293" s="1">
        <v>46169</v>
      </c>
      <c r="B293" t="s">
        <v>7</v>
      </c>
      <c r="C293" t="s">
        <v>13</v>
      </c>
      <c r="D293" t="s">
        <v>123</v>
      </c>
      <c r="E293" t="s">
        <v>18</v>
      </c>
      <c r="F293" t="s">
        <v>116</v>
      </c>
      <c r="G293" t="s">
        <v>16</v>
      </c>
    </row>
    <row r="294" spans="1:7" x14ac:dyDescent="0.3">
      <c r="A294" s="1">
        <v>46169</v>
      </c>
      <c r="B294" t="s">
        <v>7</v>
      </c>
      <c r="C294" t="s">
        <v>8</v>
      </c>
      <c r="D294" t="s">
        <v>17</v>
      </c>
      <c r="E294" t="s">
        <v>43</v>
      </c>
      <c r="F294" t="s">
        <v>116</v>
      </c>
      <c r="G294" t="s">
        <v>16</v>
      </c>
    </row>
    <row r="295" spans="1:7" x14ac:dyDescent="0.3">
      <c r="A295" s="1">
        <v>46169</v>
      </c>
      <c r="B295" t="s">
        <v>7</v>
      </c>
      <c r="C295" t="s">
        <v>8</v>
      </c>
      <c r="D295" t="s">
        <v>17</v>
      </c>
      <c r="E295" t="s">
        <v>10</v>
      </c>
      <c r="F295" t="s">
        <v>116</v>
      </c>
      <c r="G295" t="s">
        <v>16</v>
      </c>
    </row>
    <row r="296" spans="1:7" x14ac:dyDescent="0.3">
      <c r="A296" s="1">
        <v>46169</v>
      </c>
      <c r="B296" t="s">
        <v>7</v>
      </c>
      <c r="C296" t="s">
        <v>8</v>
      </c>
      <c r="D296" t="s">
        <v>25</v>
      </c>
      <c r="E296" t="s">
        <v>18</v>
      </c>
      <c r="F296" t="s">
        <v>116</v>
      </c>
      <c r="G296" t="s">
        <v>16</v>
      </c>
    </row>
    <row r="297" spans="1:7" x14ac:dyDescent="0.3">
      <c r="A297" s="1">
        <v>46169</v>
      </c>
      <c r="B297" t="s">
        <v>7</v>
      </c>
      <c r="C297" t="s">
        <v>26</v>
      </c>
      <c r="D297" t="s">
        <v>26</v>
      </c>
      <c r="E297" t="s">
        <v>18</v>
      </c>
      <c r="F297" t="s">
        <v>116</v>
      </c>
      <c r="G297" t="s">
        <v>16</v>
      </c>
    </row>
    <row r="298" spans="1:7" x14ac:dyDescent="0.3">
      <c r="A298" s="1">
        <v>46169</v>
      </c>
      <c r="B298" t="s">
        <v>29</v>
      </c>
      <c r="C298" t="s">
        <v>79</v>
      </c>
      <c r="D298" t="s">
        <v>124</v>
      </c>
      <c r="E298" t="s">
        <v>35</v>
      </c>
      <c r="F298" t="s">
        <v>116</v>
      </c>
      <c r="G298" t="s">
        <v>16</v>
      </c>
    </row>
    <row r="299" spans="1:7" x14ac:dyDescent="0.3">
      <c r="A299" s="1">
        <v>46169</v>
      </c>
      <c r="B299" t="s">
        <v>7</v>
      </c>
      <c r="C299" t="s">
        <v>8</v>
      </c>
      <c r="D299" t="s">
        <v>22</v>
      </c>
      <c r="E299" t="s">
        <v>18</v>
      </c>
      <c r="F299" t="s">
        <v>116</v>
      </c>
      <c r="G299" t="s">
        <v>16</v>
      </c>
    </row>
    <row r="300" spans="1:7" x14ac:dyDescent="0.3">
      <c r="A300" s="1">
        <v>46169</v>
      </c>
      <c r="B300" t="s">
        <v>29</v>
      </c>
      <c r="C300" t="s">
        <v>37</v>
      </c>
      <c r="D300" t="s">
        <v>125</v>
      </c>
      <c r="E300" t="s">
        <v>18</v>
      </c>
      <c r="F300" t="s">
        <v>116</v>
      </c>
      <c r="G300" t="s">
        <v>16</v>
      </c>
    </row>
    <row r="301" spans="1:7" x14ac:dyDescent="0.3">
      <c r="A301" s="1">
        <v>46169</v>
      </c>
      <c r="B301" t="s">
        <v>46</v>
      </c>
      <c r="C301" t="s">
        <v>46</v>
      </c>
      <c r="D301" t="s">
        <v>126</v>
      </c>
      <c r="E301" t="s">
        <v>18</v>
      </c>
      <c r="F301" t="s">
        <v>127</v>
      </c>
      <c r="G301" t="s">
        <v>12</v>
      </c>
    </row>
    <row r="302" spans="1:7" x14ac:dyDescent="0.3">
      <c r="A302" s="1">
        <v>46169</v>
      </c>
      <c r="B302" t="s">
        <v>7</v>
      </c>
      <c r="C302" t="s">
        <v>8</v>
      </c>
      <c r="D302" t="s">
        <v>24</v>
      </c>
      <c r="E302" t="s">
        <v>18</v>
      </c>
      <c r="F302" t="s">
        <v>116</v>
      </c>
      <c r="G302" t="s">
        <v>16</v>
      </c>
    </row>
    <row r="303" spans="1:7" x14ac:dyDescent="0.3">
      <c r="A303" s="1">
        <v>46169</v>
      </c>
      <c r="B303" t="s">
        <v>7</v>
      </c>
      <c r="C303" t="s">
        <v>8</v>
      </c>
      <c r="D303" t="s">
        <v>25</v>
      </c>
      <c r="E303" t="s">
        <v>10</v>
      </c>
      <c r="F303" t="s">
        <v>116</v>
      </c>
      <c r="G303" t="s">
        <v>16</v>
      </c>
    </row>
    <row r="304" spans="1:7" x14ac:dyDescent="0.3">
      <c r="A304" s="1">
        <v>46169</v>
      </c>
      <c r="B304" t="s">
        <v>7</v>
      </c>
      <c r="C304" t="s">
        <v>26</v>
      </c>
      <c r="D304" t="s">
        <v>27</v>
      </c>
      <c r="E304" t="s">
        <v>18</v>
      </c>
      <c r="F304" t="s">
        <v>116</v>
      </c>
      <c r="G304" t="s">
        <v>12</v>
      </c>
    </row>
    <row r="305" spans="1:7" x14ac:dyDescent="0.3">
      <c r="A305" s="1">
        <v>46169</v>
      </c>
      <c r="B305" t="s">
        <v>7</v>
      </c>
      <c r="C305" t="s">
        <v>8</v>
      </c>
      <c r="D305" t="s">
        <v>22</v>
      </c>
      <c r="E305" t="s">
        <v>10</v>
      </c>
      <c r="F305" t="s">
        <v>116</v>
      </c>
      <c r="G305" t="s">
        <v>16</v>
      </c>
    </row>
    <row r="306" spans="1:7" x14ac:dyDescent="0.3">
      <c r="A306" s="1">
        <v>46169</v>
      </c>
      <c r="B306" t="s">
        <v>7</v>
      </c>
      <c r="C306" t="s">
        <v>8</v>
      </c>
      <c r="D306" t="s">
        <v>8</v>
      </c>
      <c r="E306" t="s">
        <v>18</v>
      </c>
      <c r="F306" t="s">
        <v>116</v>
      </c>
      <c r="G306" t="s">
        <v>16</v>
      </c>
    </row>
    <row r="307" spans="1:7" x14ac:dyDescent="0.3">
      <c r="A307" s="1">
        <v>46169</v>
      </c>
      <c r="B307" t="s">
        <v>7</v>
      </c>
      <c r="C307" t="s">
        <v>8</v>
      </c>
      <c r="D307" t="s">
        <v>17</v>
      </c>
      <c r="E307" t="s">
        <v>41</v>
      </c>
      <c r="F307" t="s">
        <v>116</v>
      </c>
      <c r="G307" t="s">
        <v>16</v>
      </c>
    </row>
    <row r="308" spans="1:7" x14ac:dyDescent="0.3">
      <c r="A308" s="1">
        <v>46169</v>
      </c>
      <c r="B308" t="s">
        <v>29</v>
      </c>
      <c r="C308" t="s">
        <v>64</v>
      </c>
      <c r="D308" t="s">
        <v>65</v>
      </c>
      <c r="E308" t="s">
        <v>18</v>
      </c>
      <c r="F308" t="s">
        <v>116</v>
      </c>
      <c r="G308" t="s">
        <v>12</v>
      </c>
    </row>
    <row r="309" spans="1:7" x14ac:dyDescent="0.3">
      <c r="A309" s="1">
        <v>46169</v>
      </c>
      <c r="B309" t="s">
        <v>7</v>
      </c>
      <c r="C309" t="s">
        <v>8</v>
      </c>
      <c r="D309" t="s">
        <v>42</v>
      </c>
      <c r="E309" t="s">
        <v>18</v>
      </c>
      <c r="F309" t="s">
        <v>116</v>
      </c>
      <c r="G309" t="s">
        <v>16</v>
      </c>
    </row>
    <row r="310" spans="1:7" x14ac:dyDescent="0.3">
      <c r="A310" s="1">
        <v>46169</v>
      </c>
      <c r="B310" t="s">
        <v>29</v>
      </c>
      <c r="C310" t="s">
        <v>29</v>
      </c>
      <c r="D310" t="s">
        <v>114</v>
      </c>
      <c r="E310" t="s">
        <v>18</v>
      </c>
      <c r="F310" t="s">
        <v>116</v>
      </c>
      <c r="G310" t="s">
        <v>16</v>
      </c>
    </row>
    <row r="311" spans="1:7" x14ac:dyDescent="0.3">
      <c r="A311" s="1">
        <v>46169</v>
      </c>
      <c r="B311" t="s">
        <v>7</v>
      </c>
      <c r="C311" t="s">
        <v>56</v>
      </c>
      <c r="D311" t="s">
        <v>92</v>
      </c>
      <c r="E311" t="s">
        <v>18</v>
      </c>
      <c r="F311" t="s">
        <v>116</v>
      </c>
      <c r="G311" t="s">
        <v>16</v>
      </c>
    </row>
    <row r="312" spans="1:7" x14ac:dyDescent="0.3">
      <c r="A312" s="1">
        <v>46169</v>
      </c>
      <c r="B312" t="s">
        <v>7</v>
      </c>
      <c r="C312" t="s">
        <v>8</v>
      </c>
      <c r="D312" t="s">
        <v>17</v>
      </c>
      <c r="E312" t="s">
        <v>10</v>
      </c>
      <c r="F312" t="s">
        <v>116</v>
      </c>
      <c r="G312" t="s">
        <v>16</v>
      </c>
    </row>
    <row r="313" spans="1:7" x14ac:dyDescent="0.3">
      <c r="A313" s="1">
        <v>46169</v>
      </c>
      <c r="B313" t="s">
        <v>29</v>
      </c>
      <c r="C313" t="s">
        <v>29</v>
      </c>
      <c r="D313" t="s">
        <v>128</v>
      </c>
      <c r="E313" t="s">
        <v>18</v>
      </c>
      <c r="F313" t="s">
        <v>116</v>
      </c>
      <c r="G313" t="s">
        <v>16</v>
      </c>
    </row>
    <row r="314" spans="1:7" x14ac:dyDescent="0.3">
      <c r="A314" s="1">
        <v>46169</v>
      </c>
      <c r="B314" t="s">
        <v>7</v>
      </c>
      <c r="C314" t="s">
        <v>26</v>
      </c>
      <c r="D314" t="s">
        <v>101</v>
      </c>
      <c r="E314" t="s">
        <v>10</v>
      </c>
      <c r="F314" t="s">
        <v>111</v>
      </c>
      <c r="G314" t="s">
        <v>16</v>
      </c>
    </row>
    <row r="315" spans="1:7" x14ac:dyDescent="0.3">
      <c r="A315" s="1">
        <v>46169</v>
      </c>
      <c r="B315" t="s">
        <v>7</v>
      </c>
      <c r="C315" t="s">
        <v>8</v>
      </c>
      <c r="D315" t="s">
        <v>89</v>
      </c>
      <c r="E315" t="s">
        <v>10</v>
      </c>
      <c r="F315" t="s">
        <v>111</v>
      </c>
      <c r="G315" t="s">
        <v>16</v>
      </c>
    </row>
    <row r="316" spans="1:7" x14ac:dyDescent="0.3">
      <c r="A316" s="1">
        <v>46169</v>
      </c>
      <c r="B316" t="s">
        <v>7</v>
      </c>
      <c r="C316" t="s">
        <v>8</v>
      </c>
      <c r="D316" t="s">
        <v>17</v>
      </c>
      <c r="E316" t="s">
        <v>18</v>
      </c>
      <c r="F316" t="s">
        <v>111</v>
      </c>
      <c r="G316" t="s">
        <v>16</v>
      </c>
    </row>
    <row r="317" spans="1:7" x14ac:dyDescent="0.3">
      <c r="A317" s="1">
        <v>46169</v>
      </c>
      <c r="B317" t="s">
        <v>7</v>
      </c>
      <c r="C317" t="s">
        <v>8</v>
      </c>
      <c r="D317" t="s">
        <v>22</v>
      </c>
      <c r="E317" t="s">
        <v>18</v>
      </c>
      <c r="F317" t="s">
        <v>111</v>
      </c>
      <c r="G317" t="s">
        <v>16</v>
      </c>
    </row>
    <row r="318" spans="1:7" x14ac:dyDescent="0.3">
      <c r="A318" s="1">
        <v>46169</v>
      </c>
      <c r="B318" t="s">
        <v>7</v>
      </c>
      <c r="C318" t="s">
        <v>8</v>
      </c>
      <c r="D318" t="s">
        <v>71</v>
      </c>
      <c r="E318" t="s">
        <v>10</v>
      </c>
      <c r="F318" t="s">
        <v>111</v>
      </c>
      <c r="G318" t="s">
        <v>16</v>
      </c>
    </row>
    <row r="319" spans="1:7" x14ac:dyDescent="0.3">
      <c r="A319" s="1">
        <v>46169</v>
      </c>
      <c r="B319" t="s">
        <v>7</v>
      </c>
      <c r="C319" t="s">
        <v>8</v>
      </c>
      <c r="D319" t="s">
        <v>22</v>
      </c>
      <c r="E319" t="s">
        <v>10</v>
      </c>
      <c r="F319" t="s">
        <v>111</v>
      </c>
      <c r="G319" t="s">
        <v>16</v>
      </c>
    </row>
    <row r="320" spans="1:7" x14ac:dyDescent="0.3">
      <c r="A320" s="1">
        <v>46169</v>
      </c>
      <c r="B320" t="s">
        <v>7</v>
      </c>
      <c r="C320" t="s">
        <v>8</v>
      </c>
      <c r="D320" t="s">
        <v>89</v>
      </c>
      <c r="E320" t="s">
        <v>18</v>
      </c>
      <c r="F320" t="s">
        <v>111</v>
      </c>
      <c r="G320" t="s">
        <v>16</v>
      </c>
    </row>
    <row r="321" spans="1:7" x14ac:dyDescent="0.3">
      <c r="A321" s="1">
        <v>46169</v>
      </c>
      <c r="B321" t="s">
        <v>7</v>
      </c>
      <c r="C321" t="s">
        <v>8</v>
      </c>
      <c r="D321" t="s">
        <v>8</v>
      </c>
      <c r="E321" t="s">
        <v>10</v>
      </c>
      <c r="F321" t="s">
        <v>111</v>
      </c>
      <c r="G321" t="s">
        <v>16</v>
      </c>
    </row>
    <row r="322" spans="1:7" x14ac:dyDescent="0.3">
      <c r="A322" s="1">
        <v>46169</v>
      </c>
      <c r="B322" t="s">
        <v>7</v>
      </c>
      <c r="C322" t="s">
        <v>8</v>
      </c>
      <c r="D322" t="s">
        <v>17</v>
      </c>
      <c r="E322" t="s">
        <v>10</v>
      </c>
      <c r="F322" t="s">
        <v>111</v>
      </c>
      <c r="G322" t="s">
        <v>16</v>
      </c>
    </row>
    <row r="323" spans="1:7" x14ac:dyDescent="0.3">
      <c r="A323" s="1">
        <v>46169</v>
      </c>
      <c r="B323" t="s">
        <v>7</v>
      </c>
      <c r="C323" t="s">
        <v>8</v>
      </c>
      <c r="D323" t="s">
        <v>17</v>
      </c>
      <c r="E323" t="s">
        <v>18</v>
      </c>
      <c r="F323" t="s">
        <v>111</v>
      </c>
      <c r="G323" t="s">
        <v>16</v>
      </c>
    </row>
    <row r="324" spans="1:7" x14ac:dyDescent="0.3">
      <c r="A324" s="1">
        <v>46169</v>
      </c>
      <c r="B324" t="s">
        <v>7</v>
      </c>
      <c r="C324" t="s">
        <v>8</v>
      </c>
      <c r="D324" t="s">
        <v>17</v>
      </c>
      <c r="E324" t="s">
        <v>18</v>
      </c>
      <c r="F324" t="s">
        <v>111</v>
      </c>
      <c r="G324" t="s">
        <v>16</v>
      </c>
    </row>
    <row r="325" spans="1:7" x14ac:dyDescent="0.3">
      <c r="A325" s="1">
        <v>46169</v>
      </c>
      <c r="B325" t="s">
        <v>7</v>
      </c>
      <c r="C325" t="s">
        <v>8</v>
      </c>
      <c r="D325" t="s">
        <v>8</v>
      </c>
      <c r="E325" t="s">
        <v>18</v>
      </c>
      <c r="F325" t="s">
        <v>111</v>
      </c>
      <c r="G325" t="s">
        <v>16</v>
      </c>
    </row>
    <row r="326" spans="1:7" x14ac:dyDescent="0.3">
      <c r="A326" s="1">
        <v>46169</v>
      </c>
      <c r="B326" t="s">
        <v>7</v>
      </c>
      <c r="C326" t="s">
        <v>8</v>
      </c>
      <c r="D326" t="s">
        <v>23</v>
      </c>
      <c r="E326" t="s">
        <v>41</v>
      </c>
      <c r="F326" t="s">
        <v>111</v>
      </c>
      <c r="G326" t="s">
        <v>16</v>
      </c>
    </row>
    <row r="327" spans="1:7" x14ac:dyDescent="0.3">
      <c r="A327" s="1">
        <v>46169</v>
      </c>
      <c r="B327" t="s">
        <v>7</v>
      </c>
      <c r="C327" t="s">
        <v>8</v>
      </c>
      <c r="D327" t="s">
        <v>22</v>
      </c>
      <c r="E327" t="s">
        <v>10</v>
      </c>
      <c r="F327" t="s">
        <v>111</v>
      </c>
      <c r="G327" t="s">
        <v>16</v>
      </c>
    </row>
    <row r="328" spans="1:7" x14ac:dyDescent="0.3">
      <c r="A328" s="1">
        <v>46169</v>
      </c>
      <c r="B328" t="s">
        <v>7</v>
      </c>
      <c r="C328" t="s">
        <v>8</v>
      </c>
      <c r="D328" t="s">
        <v>9</v>
      </c>
      <c r="E328" t="s">
        <v>35</v>
      </c>
      <c r="F328" t="s">
        <v>111</v>
      </c>
      <c r="G328" t="s">
        <v>16</v>
      </c>
    </row>
    <row r="329" spans="1:7" x14ac:dyDescent="0.3">
      <c r="A329" s="1">
        <v>46169</v>
      </c>
      <c r="B329" t="s">
        <v>7</v>
      </c>
      <c r="C329" t="s">
        <v>8</v>
      </c>
      <c r="D329" t="s">
        <v>17</v>
      </c>
      <c r="E329" t="s">
        <v>10</v>
      </c>
      <c r="F329" t="s">
        <v>111</v>
      </c>
      <c r="G329" t="s">
        <v>16</v>
      </c>
    </row>
    <row r="330" spans="1:7" x14ac:dyDescent="0.3">
      <c r="A330" s="1">
        <v>46169</v>
      </c>
      <c r="B330" t="s">
        <v>7</v>
      </c>
      <c r="C330" t="s">
        <v>8</v>
      </c>
      <c r="D330" t="s">
        <v>17</v>
      </c>
      <c r="E330" t="s">
        <v>10</v>
      </c>
      <c r="F330" t="s">
        <v>111</v>
      </c>
      <c r="G330" t="s">
        <v>16</v>
      </c>
    </row>
    <row r="331" spans="1:7" x14ac:dyDescent="0.3">
      <c r="A331" s="1">
        <v>46169</v>
      </c>
      <c r="B331" t="s">
        <v>7</v>
      </c>
      <c r="C331" t="s">
        <v>8</v>
      </c>
      <c r="D331" t="s">
        <v>8</v>
      </c>
      <c r="E331" t="s">
        <v>10</v>
      </c>
      <c r="F331" t="s">
        <v>111</v>
      </c>
      <c r="G331" t="s">
        <v>16</v>
      </c>
    </row>
    <row r="332" spans="1:7" x14ac:dyDescent="0.3">
      <c r="A332" s="1">
        <v>46169</v>
      </c>
      <c r="B332" t="s">
        <v>7</v>
      </c>
      <c r="C332" t="s">
        <v>8</v>
      </c>
      <c r="D332" t="s">
        <v>22</v>
      </c>
      <c r="E332" t="s">
        <v>10</v>
      </c>
      <c r="F332" t="s">
        <v>111</v>
      </c>
      <c r="G332" t="s">
        <v>12</v>
      </c>
    </row>
    <row r="333" spans="1:7" x14ac:dyDescent="0.3">
      <c r="A333" s="1">
        <v>46169</v>
      </c>
      <c r="B333" t="s">
        <v>7</v>
      </c>
      <c r="C333" t="s">
        <v>13</v>
      </c>
      <c r="D333" t="s">
        <v>13</v>
      </c>
      <c r="E333" t="s">
        <v>43</v>
      </c>
      <c r="F333" t="s">
        <v>111</v>
      </c>
      <c r="G333" t="s">
        <v>12</v>
      </c>
    </row>
    <row r="334" spans="1:7" x14ac:dyDescent="0.3">
      <c r="A334" s="1">
        <v>46169</v>
      </c>
      <c r="B334" t="s">
        <v>7</v>
      </c>
      <c r="C334" t="s">
        <v>8</v>
      </c>
      <c r="D334" t="s">
        <v>24</v>
      </c>
      <c r="E334" t="s">
        <v>18</v>
      </c>
      <c r="F334" t="s">
        <v>111</v>
      </c>
      <c r="G334" t="s">
        <v>16</v>
      </c>
    </row>
    <row r="335" spans="1:7" x14ac:dyDescent="0.3">
      <c r="A335" s="1">
        <v>46169</v>
      </c>
      <c r="B335" t="s">
        <v>7</v>
      </c>
      <c r="C335" t="s">
        <v>8</v>
      </c>
      <c r="D335" t="s">
        <v>8</v>
      </c>
      <c r="E335" t="s">
        <v>18</v>
      </c>
      <c r="F335" t="s">
        <v>111</v>
      </c>
      <c r="G335" t="s">
        <v>12</v>
      </c>
    </row>
    <row r="336" spans="1:7" x14ac:dyDescent="0.3">
      <c r="A336" s="1">
        <v>46169</v>
      </c>
      <c r="B336" t="s">
        <v>7</v>
      </c>
      <c r="C336" t="s">
        <v>8</v>
      </c>
      <c r="D336" t="s">
        <v>8</v>
      </c>
      <c r="E336" t="s">
        <v>18</v>
      </c>
      <c r="F336" t="s">
        <v>111</v>
      </c>
      <c r="G336" t="s">
        <v>16</v>
      </c>
    </row>
    <row r="337" spans="1:7" x14ac:dyDescent="0.3">
      <c r="A337" s="1">
        <v>46169</v>
      </c>
      <c r="B337" t="s">
        <v>7</v>
      </c>
      <c r="C337" t="s">
        <v>8</v>
      </c>
      <c r="D337" t="s">
        <v>17</v>
      </c>
      <c r="E337" t="s">
        <v>18</v>
      </c>
      <c r="F337" t="s">
        <v>111</v>
      </c>
      <c r="G337" t="s">
        <v>16</v>
      </c>
    </row>
    <row r="338" spans="1:7" x14ac:dyDescent="0.3">
      <c r="A338" s="1">
        <v>46169</v>
      </c>
      <c r="B338" t="s">
        <v>7</v>
      </c>
      <c r="C338" t="s">
        <v>8</v>
      </c>
      <c r="D338" t="s">
        <v>8</v>
      </c>
      <c r="E338" t="s">
        <v>18</v>
      </c>
      <c r="F338" t="s">
        <v>111</v>
      </c>
      <c r="G338" t="s">
        <v>16</v>
      </c>
    </row>
    <row r="339" spans="1:7" x14ac:dyDescent="0.3">
      <c r="A339" s="1">
        <v>46169</v>
      </c>
      <c r="B339" t="s">
        <v>7</v>
      </c>
      <c r="C339" t="s">
        <v>8</v>
      </c>
      <c r="D339" t="s">
        <v>24</v>
      </c>
      <c r="E339" t="s">
        <v>45</v>
      </c>
      <c r="F339" t="s">
        <v>111</v>
      </c>
      <c r="G339" t="s">
        <v>12</v>
      </c>
    </row>
    <row r="340" spans="1:7" x14ac:dyDescent="0.3">
      <c r="A340" s="1">
        <v>46169</v>
      </c>
      <c r="B340" t="s">
        <v>7</v>
      </c>
      <c r="C340" t="s">
        <v>8</v>
      </c>
      <c r="D340" t="s">
        <v>17</v>
      </c>
      <c r="E340" t="s">
        <v>18</v>
      </c>
      <c r="F340" t="s">
        <v>111</v>
      </c>
      <c r="G340" t="s">
        <v>16</v>
      </c>
    </row>
    <row r="341" spans="1:7" x14ac:dyDescent="0.3">
      <c r="A341" s="1">
        <v>46169</v>
      </c>
      <c r="B341" t="s">
        <v>7</v>
      </c>
      <c r="C341" t="s">
        <v>19</v>
      </c>
      <c r="D341" t="s">
        <v>19</v>
      </c>
      <c r="E341" t="s">
        <v>18</v>
      </c>
      <c r="F341" t="s">
        <v>111</v>
      </c>
      <c r="G341" t="s">
        <v>16</v>
      </c>
    </row>
    <row r="342" spans="1:7" x14ac:dyDescent="0.3">
      <c r="A342" s="1">
        <v>46169</v>
      </c>
      <c r="B342" t="s">
        <v>7</v>
      </c>
      <c r="C342" t="s">
        <v>26</v>
      </c>
      <c r="D342" t="s">
        <v>101</v>
      </c>
      <c r="E342" t="s">
        <v>18</v>
      </c>
      <c r="F342" t="s">
        <v>111</v>
      </c>
      <c r="G342" t="s">
        <v>16</v>
      </c>
    </row>
    <row r="343" spans="1:7" x14ac:dyDescent="0.3">
      <c r="A343" s="1">
        <v>46169</v>
      </c>
      <c r="B343" t="s">
        <v>7</v>
      </c>
      <c r="C343" t="s">
        <v>8</v>
      </c>
      <c r="D343" t="s">
        <v>89</v>
      </c>
      <c r="E343" t="s">
        <v>18</v>
      </c>
      <c r="F343" t="s">
        <v>111</v>
      </c>
      <c r="G343" t="s">
        <v>12</v>
      </c>
    </row>
    <row r="344" spans="1:7" x14ac:dyDescent="0.3">
      <c r="A344" s="1">
        <v>46169</v>
      </c>
      <c r="B344" t="s">
        <v>7</v>
      </c>
      <c r="C344" t="s">
        <v>8</v>
      </c>
      <c r="D344" t="s">
        <v>17</v>
      </c>
      <c r="E344" t="s">
        <v>18</v>
      </c>
      <c r="F344" t="s">
        <v>111</v>
      </c>
      <c r="G344" t="s">
        <v>16</v>
      </c>
    </row>
    <row r="345" spans="1:7" x14ac:dyDescent="0.3">
      <c r="A345" s="1">
        <v>46169</v>
      </c>
      <c r="B345" t="s">
        <v>7</v>
      </c>
      <c r="C345" t="s">
        <v>8</v>
      </c>
      <c r="D345" t="s">
        <v>24</v>
      </c>
      <c r="E345" t="s">
        <v>18</v>
      </c>
      <c r="F345" t="s">
        <v>111</v>
      </c>
      <c r="G345" t="s">
        <v>16</v>
      </c>
    </row>
    <row r="346" spans="1:7" x14ac:dyDescent="0.3">
      <c r="A346" s="1">
        <v>46169</v>
      </c>
      <c r="B346" t="s">
        <v>7</v>
      </c>
      <c r="C346" t="s">
        <v>8</v>
      </c>
      <c r="D346" t="s">
        <v>22</v>
      </c>
      <c r="E346" t="s">
        <v>18</v>
      </c>
      <c r="F346" t="s">
        <v>111</v>
      </c>
      <c r="G346" t="s">
        <v>16</v>
      </c>
    </row>
    <row r="347" spans="1:7" x14ac:dyDescent="0.3">
      <c r="A347" s="1">
        <v>46169</v>
      </c>
      <c r="B347" t="s">
        <v>129</v>
      </c>
      <c r="C347" t="s">
        <v>130</v>
      </c>
      <c r="D347" t="s">
        <v>130</v>
      </c>
      <c r="E347" t="s">
        <v>18</v>
      </c>
      <c r="F347" t="s">
        <v>131</v>
      </c>
      <c r="G347" t="s">
        <v>16</v>
      </c>
    </row>
    <row r="348" spans="1:7" x14ac:dyDescent="0.3">
      <c r="A348" s="1">
        <v>46169</v>
      </c>
      <c r="B348" t="s">
        <v>7</v>
      </c>
      <c r="C348" t="s">
        <v>13</v>
      </c>
      <c r="D348" t="s">
        <v>13</v>
      </c>
      <c r="E348" t="s">
        <v>18</v>
      </c>
      <c r="F348" t="s">
        <v>131</v>
      </c>
      <c r="G348" t="s">
        <v>12</v>
      </c>
    </row>
    <row r="349" spans="1:7" x14ac:dyDescent="0.3">
      <c r="A349" s="1">
        <v>46169</v>
      </c>
      <c r="B349" t="s">
        <v>7</v>
      </c>
      <c r="C349" t="s">
        <v>8</v>
      </c>
      <c r="D349" t="s">
        <v>22</v>
      </c>
      <c r="E349" t="s">
        <v>18</v>
      </c>
      <c r="F349" t="s">
        <v>131</v>
      </c>
      <c r="G349" t="s">
        <v>16</v>
      </c>
    </row>
    <row r="350" spans="1:7" x14ac:dyDescent="0.3">
      <c r="A350" s="1">
        <v>46169</v>
      </c>
      <c r="B350" t="s">
        <v>7</v>
      </c>
      <c r="C350" t="s">
        <v>8</v>
      </c>
      <c r="D350" t="s">
        <v>8</v>
      </c>
      <c r="E350" t="s">
        <v>18</v>
      </c>
      <c r="F350" t="s">
        <v>131</v>
      </c>
      <c r="G350" t="s">
        <v>12</v>
      </c>
    </row>
    <row r="351" spans="1:7" x14ac:dyDescent="0.3">
      <c r="A351" s="1">
        <v>46169</v>
      </c>
      <c r="B351" t="s">
        <v>7</v>
      </c>
      <c r="C351" t="s">
        <v>8</v>
      </c>
      <c r="D351" t="s">
        <v>8</v>
      </c>
      <c r="E351" t="s">
        <v>18</v>
      </c>
      <c r="F351" t="s">
        <v>131</v>
      </c>
      <c r="G351" t="s">
        <v>16</v>
      </c>
    </row>
    <row r="352" spans="1:7" x14ac:dyDescent="0.3">
      <c r="A352" s="1">
        <v>46169</v>
      </c>
      <c r="B352" t="s">
        <v>7</v>
      </c>
      <c r="C352" t="s">
        <v>8</v>
      </c>
      <c r="D352" t="s">
        <v>8</v>
      </c>
      <c r="E352" t="s">
        <v>18</v>
      </c>
      <c r="F352" t="s">
        <v>131</v>
      </c>
      <c r="G352" t="s">
        <v>16</v>
      </c>
    </row>
    <row r="353" spans="1:7" x14ac:dyDescent="0.3">
      <c r="A353" s="1">
        <v>46169</v>
      </c>
      <c r="B353" t="s">
        <v>7</v>
      </c>
      <c r="C353" t="s">
        <v>8</v>
      </c>
      <c r="D353" t="s">
        <v>17</v>
      </c>
      <c r="E353" t="s">
        <v>18</v>
      </c>
      <c r="F353" t="s">
        <v>131</v>
      </c>
      <c r="G353" t="s">
        <v>16</v>
      </c>
    </row>
    <row r="354" spans="1:7" x14ac:dyDescent="0.3">
      <c r="A354" s="1">
        <v>46169</v>
      </c>
      <c r="B354" t="s">
        <v>7</v>
      </c>
      <c r="C354" t="s">
        <v>8</v>
      </c>
      <c r="D354" t="s">
        <v>17</v>
      </c>
      <c r="E354" t="s">
        <v>18</v>
      </c>
      <c r="F354" t="s">
        <v>131</v>
      </c>
      <c r="G354" t="s">
        <v>16</v>
      </c>
    </row>
    <row r="355" spans="1:7" x14ac:dyDescent="0.3">
      <c r="A355" s="1">
        <v>46169</v>
      </c>
      <c r="B355" t="s">
        <v>7</v>
      </c>
      <c r="C355" t="s">
        <v>8</v>
      </c>
      <c r="D355" t="s">
        <v>8</v>
      </c>
      <c r="E355" t="s">
        <v>18</v>
      </c>
      <c r="F355" t="s">
        <v>131</v>
      </c>
      <c r="G355" t="s">
        <v>16</v>
      </c>
    </row>
    <row r="356" spans="1:7" x14ac:dyDescent="0.3">
      <c r="A356" s="1">
        <v>46169</v>
      </c>
      <c r="B356" t="s">
        <v>7</v>
      </c>
      <c r="C356" t="s">
        <v>8</v>
      </c>
      <c r="D356" t="s">
        <v>17</v>
      </c>
      <c r="E356" t="s">
        <v>18</v>
      </c>
      <c r="F356" t="s">
        <v>131</v>
      </c>
      <c r="G356" t="s">
        <v>12</v>
      </c>
    </row>
    <row r="357" spans="1:7" x14ac:dyDescent="0.3">
      <c r="A357" s="1">
        <v>46169</v>
      </c>
      <c r="B357" t="s">
        <v>7</v>
      </c>
      <c r="C357" t="s">
        <v>8</v>
      </c>
      <c r="D357" t="s">
        <v>24</v>
      </c>
      <c r="E357" t="s">
        <v>10</v>
      </c>
      <c r="F357" t="s">
        <v>131</v>
      </c>
      <c r="G357" t="s">
        <v>16</v>
      </c>
    </row>
    <row r="358" spans="1:7" x14ac:dyDescent="0.3">
      <c r="A358" s="1">
        <v>46169</v>
      </c>
      <c r="B358" t="s">
        <v>7</v>
      </c>
      <c r="C358" t="s">
        <v>8</v>
      </c>
      <c r="D358" t="s">
        <v>17</v>
      </c>
      <c r="E358" t="s">
        <v>43</v>
      </c>
      <c r="F358" t="s">
        <v>131</v>
      </c>
      <c r="G358" t="s">
        <v>16</v>
      </c>
    </row>
    <row r="359" spans="1:7" x14ac:dyDescent="0.3">
      <c r="A359" s="1">
        <v>46169</v>
      </c>
      <c r="B359" t="s">
        <v>7</v>
      </c>
      <c r="C359" t="s">
        <v>8</v>
      </c>
      <c r="D359" t="s">
        <v>34</v>
      </c>
      <c r="E359" t="s">
        <v>10</v>
      </c>
      <c r="F359" t="s">
        <v>131</v>
      </c>
      <c r="G359" t="s">
        <v>16</v>
      </c>
    </row>
    <row r="360" spans="1:7" x14ac:dyDescent="0.3">
      <c r="A360" s="1">
        <v>46169</v>
      </c>
      <c r="B360" t="s">
        <v>7</v>
      </c>
      <c r="C360" t="s">
        <v>8</v>
      </c>
      <c r="D360" t="s">
        <v>9</v>
      </c>
      <c r="E360" t="s">
        <v>10</v>
      </c>
      <c r="F360" t="s">
        <v>131</v>
      </c>
      <c r="G360" t="s">
        <v>16</v>
      </c>
    </row>
    <row r="361" spans="1:7" x14ac:dyDescent="0.3">
      <c r="A361" s="1">
        <v>46169</v>
      </c>
      <c r="B361" t="s">
        <v>7</v>
      </c>
      <c r="C361" t="s">
        <v>8</v>
      </c>
      <c r="D361" t="s">
        <v>24</v>
      </c>
      <c r="E361" t="s">
        <v>10</v>
      </c>
      <c r="F361" t="s">
        <v>131</v>
      </c>
      <c r="G361" t="s">
        <v>16</v>
      </c>
    </row>
    <row r="362" spans="1:7" x14ac:dyDescent="0.3">
      <c r="A362" s="1">
        <v>46169</v>
      </c>
      <c r="B362" t="s">
        <v>7</v>
      </c>
      <c r="C362" t="s">
        <v>8</v>
      </c>
      <c r="D362" t="s">
        <v>17</v>
      </c>
      <c r="E362" t="s">
        <v>18</v>
      </c>
      <c r="F362" t="s">
        <v>131</v>
      </c>
      <c r="G362" t="s">
        <v>12</v>
      </c>
    </row>
    <row r="363" spans="1:7" x14ac:dyDescent="0.3">
      <c r="A363" s="1">
        <v>46169</v>
      </c>
      <c r="B363" t="s">
        <v>7</v>
      </c>
      <c r="C363" t="s">
        <v>8</v>
      </c>
      <c r="D363" t="s">
        <v>8</v>
      </c>
      <c r="E363" t="s">
        <v>10</v>
      </c>
      <c r="F363" t="s">
        <v>131</v>
      </c>
      <c r="G363" t="s">
        <v>12</v>
      </c>
    </row>
    <row r="364" spans="1:7" x14ac:dyDescent="0.3">
      <c r="A364" s="1">
        <v>46169</v>
      </c>
      <c r="B364" t="s">
        <v>29</v>
      </c>
      <c r="C364" t="s">
        <v>37</v>
      </c>
      <c r="D364" t="s">
        <v>132</v>
      </c>
      <c r="E364" t="s">
        <v>133</v>
      </c>
      <c r="F364" t="s">
        <v>131</v>
      </c>
      <c r="G364" t="s">
        <v>16</v>
      </c>
    </row>
    <row r="365" spans="1:7" x14ac:dyDescent="0.3">
      <c r="A365" s="1">
        <v>46169</v>
      </c>
      <c r="B365" t="s">
        <v>7</v>
      </c>
      <c r="C365" t="s">
        <v>8</v>
      </c>
      <c r="D365" t="s">
        <v>17</v>
      </c>
      <c r="E365" t="s">
        <v>18</v>
      </c>
      <c r="F365" t="s">
        <v>131</v>
      </c>
      <c r="G365" t="s">
        <v>12</v>
      </c>
    </row>
    <row r="366" spans="1:7" x14ac:dyDescent="0.3">
      <c r="A366" s="1">
        <v>46169</v>
      </c>
      <c r="B366" t="s">
        <v>7</v>
      </c>
      <c r="C366" t="s">
        <v>48</v>
      </c>
      <c r="D366" t="s">
        <v>48</v>
      </c>
      <c r="E366" t="s">
        <v>18</v>
      </c>
      <c r="F366" t="s">
        <v>131</v>
      </c>
      <c r="G366" t="s">
        <v>16</v>
      </c>
    </row>
    <row r="367" spans="1:7" x14ac:dyDescent="0.3">
      <c r="A367" s="1">
        <v>46169</v>
      </c>
      <c r="B367" t="s">
        <v>7</v>
      </c>
      <c r="C367" t="s">
        <v>8</v>
      </c>
      <c r="D367" t="s">
        <v>17</v>
      </c>
      <c r="E367" t="s">
        <v>18</v>
      </c>
      <c r="F367" t="s">
        <v>131</v>
      </c>
      <c r="G367" t="s">
        <v>16</v>
      </c>
    </row>
    <row r="368" spans="1:7" x14ac:dyDescent="0.3">
      <c r="A368" s="1">
        <v>46169</v>
      </c>
      <c r="B368" t="s">
        <v>7</v>
      </c>
      <c r="C368" t="s">
        <v>8</v>
      </c>
      <c r="D368" t="s">
        <v>8</v>
      </c>
      <c r="E368" t="s">
        <v>10</v>
      </c>
      <c r="F368" t="s">
        <v>131</v>
      </c>
      <c r="G368" t="s">
        <v>16</v>
      </c>
    </row>
    <row r="369" spans="1:7" x14ac:dyDescent="0.3">
      <c r="A369" s="1">
        <v>46169</v>
      </c>
      <c r="B369" t="s">
        <v>7</v>
      </c>
      <c r="C369" t="s">
        <v>13</v>
      </c>
      <c r="D369" t="s">
        <v>13</v>
      </c>
      <c r="E369" t="s">
        <v>18</v>
      </c>
      <c r="F369" t="s">
        <v>131</v>
      </c>
      <c r="G369" t="s">
        <v>12</v>
      </c>
    </row>
    <row r="370" spans="1:7" x14ac:dyDescent="0.3">
      <c r="A370" s="1">
        <v>46169</v>
      </c>
      <c r="B370" t="s">
        <v>7</v>
      </c>
      <c r="C370" t="s">
        <v>8</v>
      </c>
      <c r="D370" t="s">
        <v>8</v>
      </c>
      <c r="E370" t="s">
        <v>10</v>
      </c>
      <c r="F370" t="s">
        <v>131</v>
      </c>
      <c r="G370" t="s">
        <v>16</v>
      </c>
    </row>
    <row r="371" spans="1:7" x14ac:dyDescent="0.3">
      <c r="A371" s="1">
        <v>46169</v>
      </c>
      <c r="B371" t="s">
        <v>7</v>
      </c>
      <c r="C371" t="s">
        <v>8</v>
      </c>
      <c r="D371" t="s">
        <v>109</v>
      </c>
      <c r="E371" t="s">
        <v>35</v>
      </c>
      <c r="F371" t="s">
        <v>131</v>
      </c>
      <c r="G371" t="s">
        <v>16</v>
      </c>
    </row>
    <row r="372" spans="1:7" x14ac:dyDescent="0.3">
      <c r="A372" s="1">
        <v>46169</v>
      </c>
      <c r="B372" t="s">
        <v>7</v>
      </c>
      <c r="C372" t="s">
        <v>61</v>
      </c>
      <c r="D372" t="s">
        <v>61</v>
      </c>
      <c r="E372" t="s">
        <v>18</v>
      </c>
      <c r="F372" t="s">
        <v>131</v>
      </c>
      <c r="G372" t="s">
        <v>16</v>
      </c>
    </row>
    <row r="373" spans="1:7" x14ac:dyDescent="0.3">
      <c r="A373" s="1">
        <v>46169</v>
      </c>
      <c r="B373" t="s">
        <v>7</v>
      </c>
      <c r="C373" t="s">
        <v>56</v>
      </c>
      <c r="D373" t="s">
        <v>134</v>
      </c>
      <c r="E373" t="s">
        <v>41</v>
      </c>
      <c r="F373" t="s">
        <v>131</v>
      </c>
      <c r="G373" t="s">
        <v>16</v>
      </c>
    </row>
    <row r="374" spans="1:7" x14ac:dyDescent="0.3">
      <c r="A374" s="1">
        <v>46169</v>
      </c>
      <c r="B374" t="s">
        <v>7</v>
      </c>
      <c r="C374" t="s">
        <v>8</v>
      </c>
      <c r="D374" t="s">
        <v>22</v>
      </c>
      <c r="E374" t="s">
        <v>18</v>
      </c>
      <c r="F374" t="s">
        <v>131</v>
      </c>
      <c r="G374" t="s">
        <v>12</v>
      </c>
    </row>
    <row r="375" spans="1:7" x14ac:dyDescent="0.3">
      <c r="A375" s="1">
        <v>46169</v>
      </c>
      <c r="B375" t="s">
        <v>7</v>
      </c>
      <c r="C375" t="s">
        <v>8</v>
      </c>
      <c r="D375" t="s">
        <v>17</v>
      </c>
      <c r="E375" t="s">
        <v>18</v>
      </c>
      <c r="F375" t="s">
        <v>135</v>
      </c>
      <c r="G375" t="s">
        <v>16</v>
      </c>
    </row>
    <row r="376" spans="1:7" x14ac:dyDescent="0.3">
      <c r="A376" s="1">
        <v>46169</v>
      </c>
      <c r="B376" t="s">
        <v>7</v>
      </c>
      <c r="C376" t="s">
        <v>8</v>
      </c>
      <c r="D376" t="s">
        <v>89</v>
      </c>
      <c r="E376" t="s">
        <v>10</v>
      </c>
      <c r="F376" t="s">
        <v>135</v>
      </c>
      <c r="G376" t="s">
        <v>16</v>
      </c>
    </row>
    <row r="377" spans="1:7" x14ac:dyDescent="0.3">
      <c r="A377" s="1">
        <v>46169</v>
      </c>
      <c r="B377" t="s">
        <v>7</v>
      </c>
      <c r="C377" t="s">
        <v>8</v>
      </c>
      <c r="D377" t="s">
        <v>8</v>
      </c>
      <c r="E377" t="s">
        <v>18</v>
      </c>
      <c r="F377" t="s">
        <v>135</v>
      </c>
      <c r="G377" t="s">
        <v>16</v>
      </c>
    </row>
    <row r="378" spans="1:7" x14ac:dyDescent="0.3">
      <c r="A378" s="1">
        <v>46169</v>
      </c>
      <c r="B378" t="s">
        <v>7</v>
      </c>
      <c r="C378" t="s">
        <v>8</v>
      </c>
      <c r="D378" t="s">
        <v>17</v>
      </c>
      <c r="E378" t="s">
        <v>10</v>
      </c>
      <c r="F378" t="s">
        <v>135</v>
      </c>
      <c r="G378" t="s">
        <v>16</v>
      </c>
    </row>
    <row r="379" spans="1:7" x14ac:dyDescent="0.3">
      <c r="A379" s="1">
        <v>46169</v>
      </c>
      <c r="B379" t="s">
        <v>7</v>
      </c>
      <c r="C379" t="s">
        <v>8</v>
      </c>
      <c r="D379" t="s">
        <v>17</v>
      </c>
      <c r="E379" t="s">
        <v>18</v>
      </c>
      <c r="F379" t="s">
        <v>135</v>
      </c>
      <c r="G379" t="s">
        <v>16</v>
      </c>
    </row>
    <row r="380" spans="1:7" x14ac:dyDescent="0.3">
      <c r="A380" s="1">
        <v>46169</v>
      </c>
      <c r="B380" t="s">
        <v>7</v>
      </c>
      <c r="C380" t="s">
        <v>8</v>
      </c>
      <c r="D380" t="s">
        <v>17</v>
      </c>
      <c r="E380" t="s">
        <v>10</v>
      </c>
      <c r="F380" t="s">
        <v>135</v>
      </c>
      <c r="G380" t="s">
        <v>16</v>
      </c>
    </row>
    <row r="381" spans="1:7" x14ac:dyDescent="0.3">
      <c r="A381" s="1">
        <v>46169</v>
      </c>
      <c r="B381" t="s">
        <v>7</v>
      </c>
      <c r="C381" t="s">
        <v>8</v>
      </c>
      <c r="D381" t="s">
        <v>22</v>
      </c>
      <c r="E381" t="s">
        <v>18</v>
      </c>
      <c r="F381" t="s">
        <v>135</v>
      </c>
      <c r="G381" t="s">
        <v>12</v>
      </c>
    </row>
    <row r="382" spans="1:7" x14ac:dyDescent="0.3">
      <c r="A382" s="1">
        <v>46169</v>
      </c>
      <c r="B382" t="s">
        <v>7</v>
      </c>
      <c r="C382" t="s">
        <v>8</v>
      </c>
      <c r="D382" t="s">
        <v>17</v>
      </c>
      <c r="E382" t="s">
        <v>10</v>
      </c>
      <c r="F382" t="s">
        <v>135</v>
      </c>
      <c r="G382" t="s">
        <v>16</v>
      </c>
    </row>
    <row r="383" spans="1:7" x14ac:dyDescent="0.3">
      <c r="A383" s="1">
        <v>46169</v>
      </c>
      <c r="B383" t="s">
        <v>7</v>
      </c>
      <c r="C383" t="s">
        <v>8</v>
      </c>
      <c r="D383" t="s">
        <v>17</v>
      </c>
      <c r="E383" t="s">
        <v>10</v>
      </c>
      <c r="F383" t="s">
        <v>135</v>
      </c>
      <c r="G383" t="s">
        <v>16</v>
      </c>
    </row>
    <row r="384" spans="1:7" x14ac:dyDescent="0.3">
      <c r="A384" s="1">
        <v>46169</v>
      </c>
      <c r="B384" t="s">
        <v>7</v>
      </c>
      <c r="C384" t="s">
        <v>8</v>
      </c>
      <c r="D384" t="s">
        <v>89</v>
      </c>
      <c r="E384" t="s">
        <v>18</v>
      </c>
      <c r="F384" t="s">
        <v>135</v>
      </c>
      <c r="G384" t="s">
        <v>16</v>
      </c>
    </row>
    <row r="385" spans="1:7" x14ac:dyDescent="0.3">
      <c r="A385" s="1">
        <v>46169</v>
      </c>
      <c r="B385" t="s">
        <v>7</v>
      </c>
      <c r="C385" t="s">
        <v>8</v>
      </c>
      <c r="D385" t="s">
        <v>17</v>
      </c>
      <c r="E385" t="s">
        <v>18</v>
      </c>
      <c r="F385" t="s">
        <v>135</v>
      </c>
      <c r="G385" t="s">
        <v>16</v>
      </c>
    </row>
    <row r="386" spans="1:7" x14ac:dyDescent="0.3">
      <c r="A386" s="1">
        <v>46169</v>
      </c>
      <c r="B386" t="s">
        <v>7</v>
      </c>
      <c r="C386" t="s">
        <v>8</v>
      </c>
      <c r="D386" t="s">
        <v>17</v>
      </c>
      <c r="E386" t="s">
        <v>18</v>
      </c>
      <c r="F386" t="s">
        <v>135</v>
      </c>
      <c r="G386" t="s">
        <v>16</v>
      </c>
    </row>
    <row r="387" spans="1:7" x14ac:dyDescent="0.3">
      <c r="A387" s="1">
        <v>46169</v>
      </c>
      <c r="B387" t="s">
        <v>7</v>
      </c>
      <c r="C387" t="s">
        <v>8</v>
      </c>
      <c r="D387" t="s">
        <v>17</v>
      </c>
      <c r="E387" t="s">
        <v>35</v>
      </c>
      <c r="F387" t="s">
        <v>135</v>
      </c>
      <c r="G387" t="s">
        <v>12</v>
      </c>
    </row>
    <row r="388" spans="1:7" x14ac:dyDescent="0.3">
      <c r="A388" s="1">
        <v>46169</v>
      </c>
      <c r="B388" t="s">
        <v>7</v>
      </c>
      <c r="C388" t="s">
        <v>8</v>
      </c>
      <c r="D388" t="s">
        <v>17</v>
      </c>
      <c r="E388" t="s">
        <v>10</v>
      </c>
      <c r="F388" t="s">
        <v>135</v>
      </c>
      <c r="G388" t="s">
        <v>16</v>
      </c>
    </row>
    <row r="389" spans="1:7" x14ac:dyDescent="0.3">
      <c r="A389" s="1">
        <v>46169</v>
      </c>
      <c r="B389" t="s">
        <v>7</v>
      </c>
      <c r="C389" t="s">
        <v>8</v>
      </c>
      <c r="D389" t="s">
        <v>42</v>
      </c>
      <c r="E389" t="s">
        <v>18</v>
      </c>
      <c r="F389" t="s">
        <v>135</v>
      </c>
      <c r="G389" t="s">
        <v>16</v>
      </c>
    </row>
    <row r="390" spans="1:7" x14ac:dyDescent="0.3">
      <c r="A390" s="1">
        <v>46169</v>
      </c>
      <c r="B390" t="s">
        <v>7</v>
      </c>
      <c r="C390" t="s">
        <v>8</v>
      </c>
      <c r="D390" t="s">
        <v>22</v>
      </c>
      <c r="E390" t="s">
        <v>18</v>
      </c>
      <c r="F390" t="s">
        <v>135</v>
      </c>
      <c r="G390" t="s">
        <v>16</v>
      </c>
    </row>
    <row r="391" spans="1:7" x14ac:dyDescent="0.3">
      <c r="A391" s="1">
        <v>46169</v>
      </c>
      <c r="B391" t="s">
        <v>7</v>
      </c>
      <c r="C391" t="s">
        <v>8</v>
      </c>
      <c r="D391" t="s">
        <v>34</v>
      </c>
      <c r="E391" t="s">
        <v>18</v>
      </c>
      <c r="F391" t="s">
        <v>135</v>
      </c>
      <c r="G391" t="s">
        <v>16</v>
      </c>
    </row>
    <row r="392" spans="1:7" x14ac:dyDescent="0.3">
      <c r="A392" s="1">
        <v>46169</v>
      </c>
      <c r="B392" t="s">
        <v>7</v>
      </c>
      <c r="C392" t="s">
        <v>8</v>
      </c>
      <c r="D392" t="s">
        <v>17</v>
      </c>
      <c r="E392" t="s">
        <v>18</v>
      </c>
      <c r="F392" t="s">
        <v>135</v>
      </c>
      <c r="G392" t="s">
        <v>16</v>
      </c>
    </row>
    <row r="393" spans="1:7" x14ac:dyDescent="0.3">
      <c r="A393" s="1">
        <v>46169</v>
      </c>
      <c r="B393" t="s">
        <v>7</v>
      </c>
      <c r="C393" t="s">
        <v>48</v>
      </c>
      <c r="D393" t="s">
        <v>136</v>
      </c>
      <c r="E393" t="s">
        <v>18</v>
      </c>
      <c r="F393" t="s">
        <v>135</v>
      </c>
      <c r="G393" t="s">
        <v>16</v>
      </c>
    </row>
    <row r="394" spans="1:7" x14ac:dyDescent="0.3">
      <c r="A394" s="1">
        <v>46169</v>
      </c>
      <c r="B394" t="s">
        <v>7</v>
      </c>
      <c r="C394" t="s">
        <v>8</v>
      </c>
      <c r="D394" t="s">
        <v>8</v>
      </c>
      <c r="E394" t="s">
        <v>10</v>
      </c>
      <c r="F394" t="s">
        <v>135</v>
      </c>
      <c r="G394" t="s">
        <v>16</v>
      </c>
    </row>
    <row r="395" spans="1:7" x14ac:dyDescent="0.3">
      <c r="A395" s="1">
        <v>46169</v>
      </c>
      <c r="B395" t="s">
        <v>7</v>
      </c>
      <c r="C395" t="s">
        <v>8</v>
      </c>
      <c r="D395" t="s">
        <v>17</v>
      </c>
      <c r="E395" t="s">
        <v>18</v>
      </c>
      <c r="F395" t="s">
        <v>135</v>
      </c>
      <c r="G395" t="s">
        <v>16</v>
      </c>
    </row>
    <row r="396" spans="1:7" x14ac:dyDescent="0.3">
      <c r="A396" s="1">
        <v>46169</v>
      </c>
      <c r="B396" t="s">
        <v>7</v>
      </c>
      <c r="C396" t="s">
        <v>8</v>
      </c>
      <c r="D396" t="s">
        <v>22</v>
      </c>
      <c r="E396" t="s">
        <v>10</v>
      </c>
      <c r="F396" t="s">
        <v>135</v>
      </c>
      <c r="G396" t="s">
        <v>12</v>
      </c>
    </row>
    <row r="397" spans="1:7" x14ac:dyDescent="0.3">
      <c r="A397" s="1">
        <v>46169</v>
      </c>
      <c r="B397" t="s">
        <v>7</v>
      </c>
      <c r="C397" t="s">
        <v>26</v>
      </c>
      <c r="D397" t="s">
        <v>26</v>
      </c>
      <c r="E397" t="s">
        <v>18</v>
      </c>
      <c r="F397" t="s">
        <v>135</v>
      </c>
      <c r="G397" t="s">
        <v>16</v>
      </c>
    </row>
    <row r="398" spans="1:7" x14ac:dyDescent="0.3">
      <c r="A398" s="1">
        <v>46169</v>
      </c>
      <c r="B398" t="s">
        <v>7</v>
      </c>
      <c r="C398" t="s">
        <v>8</v>
      </c>
      <c r="D398" t="s">
        <v>25</v>
      </c>
      <c r="E398" t="s">
        <v>10</v>
      </c>
      <c r="F398" t="s">
        <v>135</v>
      </c>
      <c r="G398" t="s">
        <v>16</v>
      </c>
    </row>
    <row r="399" spans="1:7" x14ac:dyDescent="0.3">
      <c r="A399" s="1">
        <v>46169</v>
      </c>
      <c r="B399" t="s">
        <v>7</v>
      </c>
      <c r="C399" t="s">
        <v>8</v>
      </c>
      <c r="D399" t="s">
        <v>8</v>
      </c>
      <c r="E399" t="s">
        <v>10</v>
      </c>
      <c r="F399" t="s">
        <v>135</v>
      </c>
      <c r="G399" t="s">
        <v>16</v>
      </c>
    </row>
    <row r="400" spans="1:7" x14ac:dyDescent="0.3">
      <c r="A400" s="1">
        <v>46169</v>
      </c>
      <c r="B400" t="s">
        <v>7</v>
      </c>
      <c r="C400" t="s">
        <v>8</v>
      </c>
      <c r="D400" t="s">
        <v>22</v>
      </c>
      <c r="E400" t="s">
        <v>18</v>
      </c>
      <c r="F400" t="s">
        <v>135</v>
      </c>
      <c r="G400" t="s">
        <v>16</v>
      </c>
    </row>
    <row r="401" spans="1:7" x14ac:dyDescent="0.3">
      <c r="A401" s="1">
        <v>46169</v>
      </c>
      <c r="B401" t="s">
        <v>7</v>
      </c>
      <c r="C401" t="s">
        <v>8</v>
      </c>
      <c r="D401" t="s">
        <v>22</v>
      </c>
      <c r="E401" t="s">
        <v>18</v>
      </c>
      <c r="F401" t="s">
        <v>135</v>
      </c>
      <c r="G401" t="s">
        <v>16</v>
      </c>
    </row>
    <row r="402" spans="1:7" x14ac:dyDescent="0.3">
      <c r="A402" s="1">
        <v>46169</v>
      </c>
      <c r="B402" t="s">
        <v>7</v>
      </c>
      <c r="C402" t="s">
        <v>8</v>
      </c>
      <c r="D402" t="s">
        <v>106</v>
      </c>
      <c r="E402" t="s">
        <v>10</v>
      </c>
      <c r="F402" t="s">
        <v>135</v>
      </c>
      <c r="G402" t="s">
        <v>16</v>
      </c>
    </row>
    <row r="403" spans="1:7" x14ac:dyDescent="0.3">
      <c r="A403" s="1">
        <v>46169</v>
      </c>
      <c r="B403" t="s">
        <v>29</v>
      </c>
      <c r="C403" t="s">
        <v>29</v>
      </c>
      <c r="D403" t="s">
        <v>29</v>
      </c>
      <c r="E403" t="s">
        <v>18</v>
      </c>
      <c r="F403" t="s">
        <v>135</v>
      </c>
      <c r="G403" t="s">
        <v>16</v>
      </c>
    </row>
    <row r="404" spans="1:7" x14ac:dyDescent="0.3">
      <c r="A404" s="1">
        <v>46169</v>
      </c>
      <c r="B404" t="s">
        <v>7</v>
      </c>
      <c r="C404" t="s">
        <v>8</v>
      </c>
      <c r="D404" t="s">
        <v>8</v>
      </c>
      <c r="E404" t="s">
        <v>10</v>
      </c>
      <c r="F404" t="s">
        <v>135</v>
      </c>
      <c r="G404" t="s">
        <v>16</v>
      </c>
    </row>
    <row r="405" spans="1:7" x14ac:dyDescent="0.3">
      <c r="A405" s="1">
        <v>46169</v>
      </c>
      <c r="B405" t="s">
        <v>7</v>
      </c>
      <c r="C405" t="s">
        <v>7</v>
      </c>
      <c r="D405" t="s">
        <v>7</v>
      </c>
      <c r="E405" t="s">
        <v>10</v>
      </c>
      <c r="F405" t="s">
        <v>137</v>
      </c>
      <c r="G405" t="s">
        <v>16</v>
      </c>
    </row>
    <row r="406" spans="1:7" x14ac:dyDescent="0.3">
      <c r="A406" s="1">
        <v>46169</v>
      </c>
      <c r="B406" t="s">
        <v>7</v>
      </c>
      <c r="C406" t="s">
        <v>19</v>
      </c>
      <c r="D406" t="s">
        <v>138</v>
      </c>
      <c r="E406" t="s">
        <v>41</v>
      </c>
      <c r="F406" t="s">
        <v>137</v>
      </c>
      <c r="G406" t="s">
        <v>16</v>
      </c>
    </row>
    <row r="407" spans="1:7" x14ac:dyDescent="0.3">
      <c r="A407" s="1">
        <v>46169</v>
      </c>
      <c r="B407" t="s">
        <v>46</v>
      </c>
      <c r="C407" t="s">
        <v>139</v>
      </c>
      <c r="D407" t="s">
        <v>140</v>
      </c>
      <c r="E407" t="s">
        <v>18</v>
      </c>
      <c r="F407" t="s">
        <v>137</v>
      </c>
      <c r="G407" t="s">
        <v>12</v>
      </c>
    </row>
    <row r="408" spans="1:7" x14ac:dyDescent="0.3">
      <c r="A408" s="1">
        <v>46169</v>
      </c>
      <c r="B408" t="s">
        <v>7</v>
      </c>
      <c r="C408" t="s">
        <v>13</v>
      </c>
      <c r="D408" t="s">
        <v>141</v>
      </c>
      <c r="E408" t="s">
        <v>18</v>
      </c>
      <c r="F408" t="s">
        <v>137</v>
      </c>
      <c r="G408" t="s">
        <v>12</v>
      </c>
    </row>
    <row r="409" spans="1:7" x14ac:dyDescent="0.3">
      <c r="A409" s="1">
        <v>46169</v>
      </c>
      <c r="B409" t="s">
        <v>7</v>
      </c>
      <c r="C409" t="s">
        <v>62</v>
      </c>
      <c r="D409" t="s">
        <v>94</v>
      </c>
      <c r="E409" t="s">
        <v>18</v>
      </c>
      <c r="F409" t="s">
        <v>137</v>
      </c>
      <c r="G409" t="s">
        <v>12</v>
      </c>
    </row>
    <row r="410" spans="1:7" x14ac:dyDescent="0.3">
      <c r="A410" s="1">
        <v>46169</v>
      </c>
      <c r="B410" t="s">
        <v>7</v>
      </c>
      <c r="C410" t="s">
        <v>8</v>
      </c>
      <c r="D410" t="s">
        <v>89</v>
      </c>
      <c r="E410" t="s">
        <v>10</v>
      </c>
      <c r="F410" t="s">
        <v>137</v>
      </c>
      <c r="G410" t="s">
        <v>12</v>
      </c>
    </row>
    <row r="411" spans="1:7" x14ac:dyDescent="0.3">
      <c r="A411" s="1">
        <v>46169</v>
      </c>
      <c r="B411" t="s">
        <v>7</v>
      </c>
      <c r="C411" t="s">
        <v>19</v>
      </c>
      <c r="D411" t="s">
        <v>57</v>
      </c>
      <c r="E411" t="s">
        <v>10</v>
      </c>
      <c r="F411" t="s">
        <v>137</v>
      </c>
      <c r="G411" t="s">
        <v>12</v>
      </c>
    </row>
    <row r="412" spans="1:7" x14ac:dyDescent="0.3">
      <c r="A412" s="1">
        <v>46169</v>
      </c>
      <c r="B412" t="s">
        <v>7</v>
      </c>
      <c r="C412" t="s">
        <v>19</v>
      </c>
      <c r="D412" t="s">
        <v>19</v>
      </c>
      <c r="E412" t="s">
        <v>18</v>
      </c>
      <c r="F412" t="s">
        <v>137</v>
      </c>
      <c r="G412" t="s">
        <v>16</v>
      </c>
    </row>
    <row r="413" spans="1:7" x14ac:dyDescent="0.3">
      <c r="A413" s="1">
        <v>46169</v>
      </c>
      <c r="B413" t="s">
        <v>7</v>
      </c>
      <c r="C413" t="s">
        <v>56</v>
      </c>
      <c r="D413" t="s">
        <v>92</v>
      </c>
      <c r="E413" t="s">
        <v>18</v>
      </c>
      <c r="F413" t="s">
        <v>137</v>
      </c>
      <c r="G413" t="s">
        <v>12</v>
      </c>
    </row>
    <row r="414" spans="1:7" x14ac:dyDescent="0.3">
      <c r="A414" s="1">
        <v>46169</v>
      </c>
      <c r="B414" t="s">
        <v>46</v>
      </c>
      <c r="C414" t="s">
        <v>82</v>
      </c>
      <c r="D414" t="s">
        <v>142</v>
      </c>
      <c r="E414" t="s">
        <v>10</v>
      </c>
      <c r="F414" t="s">
        <v>137</v>
      </c>
      <c r="G414" t="s">
        <v>16</v>
      </c>
    </row>
    <row r="415" spans="1:7" x14ac:dyDescent="0.3">
      <c r="A415" s="1">
        <v>46169</v>
      </c>
      <c r="B415" t="s">
        <v>7</v>
      </c>
      <c r="C415" t="s">
        <v>8</v>
      </c>
      <c r="D415" t="s">
        <v>34</v>
      </c>
      <c r="E415" t="s">
        <v>18</v>
      </c>
      <c r="F415" t="s">
        <v>137</v>
      </c>
      <c r="G415" t="s">
        <v>16</v>
      </c>
    </row>
    <row r="416" spans="1:7" x14ac:dyDescent="0.3">
      <c r="A416" s="1">
        <v>46169</v>
      </c>
      <c r="B416" t="s">
        <v>7</v>
      </c>
      <c r="C416" t="s">
        <v>8</v>
      </c>
      <c r="D416" t="s">
        <v>17</v>
      </c>
      <c r="E416" t="s">
        <v>18</v>
      </c>
      <c r="F416" t="s">
        <v>137</v>
      </c>
      <c r="G416" t="s">
        <v>12</v>
      </c>
    </row>
    <row r="417" spans="1:7" x14ac:dyDescent="0.3">
      <c r="A417" s="1">
        <v>46169</v>
      </c>
      <c r="B417" t="s">
        <v>7</v>
      </c>
      <c r="C417" t="s">
        <v>48</v>
      </c>
      <c r="D417" t="s">
        <v>136</v>
      </c>
      <c r="E417" t="s">
        <v>18</v>
      </c>
      <c r="F417" t="s">
        <v>137</v>
      </c>
      <c r="G417" t="s">
        <v>12</v>
      </c>
    </row>
    <row r="418" spans="1:7" x14ac:dyDescent="0.3">
      <c r="A418" s="1">
        <v>46169</v>
      </c>
      <c r="B418" t="s">
        <v>7</v>
      </c>
      <c r="C418" t="s">
        <v>8</v>
      </c>
      <c r="D418" t="s">
        <v>22</v>
      </c>
      <c r="E418" t="s">
        <v>18</v>
      </c>
      <c r="F418" t="s">
        <v>137</v>
      </c>
      <c r="G418" t="s">
        <v>12</v>
      </c>
    </row>
    <row r="419" spans="1:7" x14ac:dyDescent="0.3">
      <c r="A419" s="1">
        <v>46169</v>
      </c>
      <c r="B419" t="s">
        <v>7</v>
      </c>
      <c r="C419" t="s">
        <v>8</v>
      </c>
      <c r="D419" t="s">
        <v>8</v>
      </c>
      <c r="E419" t="s">
        <v>18</v>
      </c>
      <c r="F419" t="s">
        <v>137</v>
      </c>
      <c r="G419" t="s">
        <v>12</v>
      </c>
    </row>
    <row r="420" spans="1:7" x14ac:dyDescent="0.3">
      <c r="A420" s="1">
        <v>46169</v>
      </c>
      <c r="B420" t="s">
        <v>7</v>
      </c>
      <c r="C420" t="s">
        <v>8</v>
      </c>
      <c r="D420" t="s">
        <v>143</v>
      </c>
      <c r="E420" t="s">
        <v>18</v>
      </c>
      <c r="F420" t="s">
        <v>137</v>
      </c>
      <c r="G420" t="s">
        <v>12</v>
      </c>
    </row>
    <row r="421" spans="1:7" x14ac:dyDescent="0.3">
      <c r="A421" s="1">
        <v>46169</v>
      </c>
      <c r="B421" t="s">
        <v>7</v>
      </c>
      <c r="C421" t="s">
        <v>8</v>
      </c>
      <c r="D421" t="s">
        <v>8</v>
      </c>
      <c r="E421" t="s">
        <v>18</v>
      </c>
      <c r="F421" t="s">
        <v>137</v>
      </c>
      <c r="G421" t="s">
        <v>16</v>
      </c>
    </row>
    <row r="422" spans="1:7" x14ac:dyDescent="0.3">
      <c r="A422" s="1">
        <v>46169</v>
      </c>
      <c r="B422" t="s">
        <v>7</v>
      </c>
      <c r="C422" t="s">
        <v>8</v>
      </c>
      <c r="D422" t="s">
        <v>109</v>
      </c>
      <c r="E422" t="s">
        <v>18</v>
      </c>
      <c r="F422" t="s">
        <v>137</v>
      </c>
      <c r="G422" t="s">
        <v>16</v>
      </c>
    </row>
    <row r="423" spans="1:7" x14ac:dyDescent="0.3">
      <c r="A423" s="1">
        <v>46169</v>
      </c>
      <c r="B423" t="s">
        <v>7</v>
      </c>
      <c r="C423" t="s">
        <v>8</v>
      </c>
      <c r="D423" t="s">
        <v>17</v>
      </c>
      <c r="E423" t="s">
        <v>18</v>
      </c>
      <c r="F423" t="s">
        <v>137</v>
      </c>
      <c r="G423" t="s">
        <v>12</v>
      </c>
    </row>
    <row r="424" spans="1:7" x14ac:dyDescent="0.3">
      <c r="A424" s="1">
        <v>46169</v>
      </c>
      <c r="B424" t="s">
        <v>7</v>
      </c>
      <c r="C424" t="s">
        <v>48</v>
      </c>
      <c r="D424" t="s">
        <v>136</v>
      </c>
      <c r="E424" t="s">
        <v>10</v>
      </c>
      <c r="F424" t="s">
        <v>144</v>
      </c>
      <c r="G424" t="s">
        <v>12</v>
      </c>
    </row>
    <row r="425" spans="1:7" x14ac:dyDescent="0.3">
      <c r="A425" s="1">
        <v>46169</v>
      </c>
      <c r="B425" t="s">
        <v>7</v>
      </c>
      <c r="C425" t="s">
        <v>62</v>
      </c>
      <c r="D425" t="s">
        <v>145</v>
      </c>
      <c r="E425" t="s">
        <v>18</v>
      </c>
      <c r="F425" t="s">
        <v>144</v>
      </c>
      <c r="G425" t="s">
        <v>16</v>
      </c>
    </row>
    <row r="426" spans="1:7" x14ac:dyDescent="0.3">
      <c r="A426" s="1">
        <v>46169</v>
      </c>
      <c r="B426" t="s">
        <v>7</v>
      </c>
      <c r="C426" t="s">
        <v>62</v>
      </c>
      <c r="D426" t="s">
        <v>94</v>
      </c>
      <c r="E426" t="s">
        <v>10</v>
      </c>
      <c r="F426" t="s">
        <v>144</v>
      </c>
      <c r="G426" t="s">
        <v>12</v>
      </c>
    </row>
    <row r="427" spans="1:7" x14ac:dyDescent="0.3">
      <c r="A427" s="1">
        <v>46169</v>
      </c>
      <c r="B427" t="s">
        <v>146</v>
      </c>
      <c r="C427" t="s">
        <v>147</v>
      </c>
      <c r="D427" t="s">
        <v>148</v>
      </c>
      <c r="E427" t="s">
        <v>18</v>
      </c>
      <c r="F427" t="s">
        <v>144</v>
      </c>
      <c r="G427" t="s">
        <v>12</v>
      </c>
    </row>
    <row r="428" spans="1:7" x14ac:dyDescent="0.3">
      <c r="A428" s="1">
        <v>46169</v>
      </c>
      <c r="B428" t="s">
        <v>7</v>
      </c>
      <c r="C428" t="s">
        <v>62</v>
      </c>
      <c r="D428" t="s">
        <v>145</v>
      </c>
      <c r="E428" t="s">
        <v>18</v>
      </c>
      <c r="F428" t="s">
        <v>149</v>
      </c>
      <c r="G428" t="s">
        <v>16</v>
      </c>
    </row>
    <row r="429" spans="1:7" x14ac:dyDescent="0.3">
      <c r="A429" s="1">
        <v>46169</v>
      </c>
      <c r="B429" t="s">
        <v>7</v>
      </c>
      <c r="C429" t="s">
        <v>62</v>
      </c>
      <c r="D429" t="s">
        <v>62</v>
      </c>
      <c r="E429" t="s">
        <v>10</v>
      </c>
      <c r="F429" t="s">
        <v>149</v>
      </c>
      <c r="G429" t="s">
        <v>12</v>
      </c>
    </row>
    <row r="430" spans="1:7" x14ac:dyDescent="0.3">
      <c r="A430" s="1">
        <v>46169</v>
      </c>
      <c r="B430" t="s">
        <v>7</v>
      </c>
      <c r="C430" t="s">
        <v>62</v>
      </c>
      <c r="D430" t="s">
        <v>94</v>
      </c>
      <c r="E430" t="s">
        <v>18</v>
      </c>
      <c r="F430" t="s">
        <v>149</v>
      </c>
      <c r="G430" t="s">
        <v>16</v>
      </c>
    </row>
    <row r="431" spans="1:7" x14ac:dyDescent="0.3">
      <c r="A431" s="1">
        <v>46169</v>
      </c>
      <c r="B431" t="s">
        <v>7</v>
      </c>
      <c r="C431" t="s">
        <v>8</v>
      </c>
      <c r="D431" t="s">
        <v>17</v>
      </c>
      <c r="E431" t="s">
        <v>18</v>
      </c>
      <c r="F431" t="s">
        <v>150</v>
      </c>
      <c r="G431" t="s">
        <v>16</v>
      </c>
    </row>
    <row r="432" spans="1:7" x14ac:dyDescent="0.3">
      <c r="A432" s="1">
        <v>46169</v>
      </c>
      <c r="B432" t="s">
        <v>7</v>
      </c>
      <c r="C432" t="s">
        <v>19</v>
      </c>
      <c r="D432" t="s">
        <v>151</v>
      </c>
      <c r="E432" t="s">
        <v>10</v>
      </c>
      <c r="F432" t="s">
        <v>150</v>
      </c>
      <c r="G432" t="s">
        <v>16</v>
      </c>
    </row>
    <row r="433" spans="1:7" x14ac:dyDescent="0.3">
      <c r="A433" s="1">
        <v>46169</v>
      </c>
      <c r="B433" t="s">
        <v>29</v>
      </c>
      <c r="C433" t="s">
        <v>37</v>
      </c>
      <c r="D433" t="s">
        <v>125</v>
      </c>
      <c r="E433" t="s">
        <v>18</v>
      </c>
      <c r="F433" t="s">
        <v>150</v>
      </c>
      <c r="G433" t="s">
        <v>16</v>
      </c>
    </row>
    <row r="434" spans="1:7" x14ac:dyDescent="0.3">
      <c r="A434" s="1">
        <v>46169</v>
      </c>
      <c r="B434" t="s">
        <v>7</v>
      </c>
      <c r="C434" t="s">
        <v>8</v>
      </c>
      <c r="D434" t="s">
        <v>17</v>
      </c>
      <c r="E434" t="s">
        <v>18</v>
      </c>
      <c r="F434" t="s">
        <v>150</v>
      </c>
      <c r="G434" t="s">
        <v>16</v>
      </c>
    </row>
    <row r="435" spans="1:7" x14ac:dyDescent="0.3">
      <c r="A435" s="1">
        <v>46169</v>
      </c>
      <c r="B435" t="s">
        <v>7</v>
      </c>
      <c r="C435" t="s">
        <v>8</v>
      </c>
      <c r="D435" t="s">
        <v>34</v>
      </c>
      <c r="E435" t="s">
        <v>45</v>
      </c>
      <c r="F435" t="s">
        <v>150</v>
      </c>
      <c r="G435" t="s">
        <v>16</v>
      </c>
    </row>
    <row r="436" spans="1:7" x14ac:dyDescent="0.3">
      <c r="A436" s="1">
        <v>46169</v>
      </c>
      <c r="B436" t="s">
        <v>7</v>
      </c>
      <c r="C436" t="s">
        <v>8</v>
      </c>
      <c r="D436" t="s">
        <v>22</v>
      </c>
      <c r="E436" t="s">
        <v>18</v>
      </c>
      <c r="F436" t="s">
        <v>150</v>
      </c>
      <c r="G436" t="s">
        <v>16</v>
      </c>
    </row>
    <row r="437" spans="1:7" x14ac:dyDescent="0.3">
      <c r="A437" s="1">
        <v>46169</v>
      </c>
      <c r="B437" t="s">
        <v>7</v>
      </c>
      <c r="C437" t="s">
        <v>8</v>
      </c>
      <c r="D437" t="s">
        <v>17</v>
      </c>
      <c r="E437" t="s">
        <v>18</v>
      </c>
      <c r="F437" t="s">
        <v>150</v>
      </c>
      <c r="G437" t="s">
        <v>16</v>
      </c>
    </row>
    <row r="438" spans="1:7" x14ac:dyDescent="0.3">
      <c r="A438" s="1">
        <v>46169</v>
      </c>
      <c r="B438" t="s">
        <v>7</v>
      </c>
      <c r="C438" t="s">
        <v>8</v>
      </c>
      <c r="D438" t="s">
        <v>17</v>
      </c>
      <c r="E438" t="s">
        <v>18</v>
      </c>
      <c r="F438" t="s">
        <v>150</v>
      </c>
      <c r="G438" t="s">
        <v>16</v>
      </c>
    </row>
    <row r="439" spans="1:7" x14ac:dyDescent="0.3">
      <c r="A439" s="1">
        <v>46169</v>
      </c>
      <c r="B439" t="s">
        <v>7</v>
      </c>
      <c r="C439" t="s">
        <v>48</v>
      </c>
      <c r="D439" t="s">
        <v>136</v>
      </c>
      <c r="E439" t="s">
        <v>18</v>
      </c>
      <c r="F439" t="s">
        <v>118</v>
      </c>
      <c r="G439" t="s">
        <v>12</v>
      </c>
    </row>
    <row r="440" spans="1:7" x14ac:dyDescent="0.3">
      <c r="A440" s="1">
        <v>46169</v>
      </c>
      <c r="B440" t="s">
        <v>7</v>
      </c>
      <c r="C440" t="s">
        <v>26</v>
      </c>
      <c r="D440" t="s">
        <v>26</v>
      </c>
      <c r="E440" t="s">
        <v>18</v>
      </c>
      <c r="F440" t="s">
        <v>150</v>
      </c>
      <c r="G440" t="s">
        <v>16</v>
      </c>
    </row>
    <row r="441" spans="1:7" x14ac:dyDescent="0.3">
      <c r="A441" s="1">
        <v>46169</v>
      </c>
      <c r="B441" t="s">
        <v>152</v>
      </c>
      <c r="C441" t="s">
        <v>152</v>
      </c>
      <c r="D441" t="s">
        <v>153</v>
      </c>
      <c r="E441" t="s">
        <v>18</v>
      </c>
      <c r="F441" t="s">
        <v>150</v>
      </c>
      <c r="G441" t="s">
        <v>16</v>
      </c>
    </row>
    <row r="442" spans="1:7" x14ac:dyDescent="0.3">
      <c r="A442" s="1">
        <v>46169</v>
      </c>
      <c r="B442" t="s">
        <v>7</v>
      </c>
      <c r="C442" t="s">
        <v>19</v>
      </c>
      <c r="D442" t="s">
        <v>85</v>
      </c>
      <c r="E442" t="s">
        <v>18</v>
      </c>
      <c r="F442" t="s">
        <v>150</v>
      </c>
      <c r="G442" t="s">
        <v>16</v>
      </c>
    </row>
    <row r="443" spans="1:7" x14ac:dyDescent="0.3">
      <c r="A443" s="1">
        <v>46169</v>
      </c>
      <c r="B443" t="s">
        <v>7</v>
      </c>
      <c r="C443" t="s">
        <v>8</v>
      </c>
      <c r="D443" t="s">
        <v>8</v>
      </c>
      <c r="E443" t="s">
        <v>18</v>
      </c>
      <c r="F443" t="s">
        <v>150</v>
      </c>
      <c r="G443" t="s">
        <v>16</v>
      </c>
    </row>
    <row r="444" spans="1:7" x14ac:dyDescent="0.3">
      <c r="A444" s="1">
        <v>46169</v>
      </c>
      <c r="B444" t="s">
        <v>46</v>
      </c>
      <c r="C444" t="s">
        <v>46</v>
      </c>
      <c r="D444" t="s">
        <v>110</v>
      </c>
      <c r="E444" t="s">
        <v>18</v>
      </c>
      <c r="F444" t="s">
        <v>150</v>
      </c>
      <c r="G444" t="s">
        <v>16</v>
      </c>
    </row>
    <row r="445" spans="1:7" x14ac:dyDescent="0.3">
      <c r="A445" s="1">
        <v>46169</v>
      </c>
      <c r="B445" t="s">
        <v>7</v>
      </c>
      <c r="C445" t="s">
        <v>8</v>
      </c>
      <c r="D445" t="s">
        <v>22</v>
      </c>
      <c r="E445" t="s">
        <v>18</v>
      </c>
      <c r="F445" t="s">
        <v>150</v>
      </c>
      <c r="G445" t="s">
        <v>16</v>
      </c>
    </row>
    <row r="446" spans="1:7" x14ac:dyDescent="0.3">
      <c r="A446" s="1">
        <v>46169</v>
      </c>
      <c r="B446" t="s">
        <v>7</v>
      </c>
      <c r="C446" t="s">
        <v>8</v>
      </c>
      <c r="D446" t="s">
        <v>17</v>
      </c>
      <c r="E446" t="s">
        <v>18</v>
      </c>
      <c r="F446" t="s">
        <v>150</v>
      </c>
      <c r="G446" t="s">
        <v>16</v>
      </c>
    </row>
    <row r="447" spans="1:7" x14ac:dyDescent="0.3">
      <c r="A447" s="1">
        <v>46169</v>
      </c>
      <c r="B447" t="s">
        <v>7</v>
      </c>
      <c r="C447" t="s">
        <v>8</v>
      </c>
      <c r="D447" t="s">
        <v>17</v>
      </c>
      <c r="E447" t="s">
        <v>41</v>
      </c>
      <c r="F447" t="s">
        <v>150</v>
      </c>
      <c r="G447" t="s">
        <v>16</v>
      </c>
    </row>
    <row r="448" spans="1:7" x14ac:dyDescent="0.3">
      <c r="A448" s="1">
        <v>46169</v>
      </c>
      <c r="B448" t="s">
        <v>46</v>
      </c>
      <c r="C448" t="s">
        <v>46</v>
      </c>
      <c r="D448" t="s">
        <v>154</v>
      </c>
      <c r="E448" t="s">
        <v>18</v>
      </c>
      <c r="F448" t="s">
        <v>150</v>
      </c>
      <c r="G448" t="s">
        <v>16</v>
      </c>
    </row>
    <row r="449" spans="1:7" x14ac:dyDescent="0.3">
      <c r="A449" s="1">
        <v>46169</v>
      </c>
      <c r="B449" t="s">
        <v>7</v>
      </c>
      <c r="C449" t="s">
        <v>8</v>
      </c>
      <c r="D449" t="s">
        <v>8</v>
      </c>
      <c r="E449" t="s">
        <v>10</v>
      </c>
      <c r="F449" t="s">
        <v>150</v>
      </c>
      <c r="G449" t="s">
        <v>16</v>
      </c>
    </row>
    <row r="450" spans="1:7" x14ac:dyDescent="0.3">
      <c r="A450" s="1">
        <v>46169</v>
      </c>
      <c r="B450" t="s">
        <v>7</v>
      </c>
      <c r="C450" t="s">
        <v>8</v>
      </c>
      <c r="D450" t="s">
        <v>22</v>
      </c>
      <c r="E450" t="s">
        <v>10</v>
      </c>
      <c r="F450" t="s">
        <v>150</v>
      </c>
      <c r="G450" t="s">
        <v>16</v>
      </c>
    </row>
    <row r="451" spans="1:7" x14ac:dyDescent="0.3">
      <c r="A451" s="1">
        <v>46169</v>
      </c>
      <c r="B451" t="s">
        <v>7</v>
      </c>
      <c r="C451" t="s">
        <v>8</v>
      </c>
      <c r="D451" t="s">
        <v>9</v>
      </c>
      <c r="E451" t="s">
        <v>18</v>
      </c>
      <c r="F451" t="s">
        <v>150</v>
      </c>
      <c r="G451" t="s">
        <v>16</v>
      </c>
    </row>
    <row r="452" spans="1:7" x14ac:dyDescent="0.3">
      <c r="A452" s="1">
        <v>46169</v>
      </c>
      <c r="B452" t="s">
        <v>29</v>
      </c>
      <c r="C452" t="s">
        <v>37</v>
      </c>
      <c r="D452" t="s">
        <v>155</v>
      </c>
      <c r="E452" t="s">
        <v>18</v>
      </c>
      <c r="F452" t="s">
        <v>150</v>
      </c>
      <c r="G452" t="s">
        <v>16</v>
      </c>
    </row>
    <row r="453" spans="1:7" x14ac:dyDescent="0.3">
      <c r="A453" s="1">
        <v>46169</v>
      </c>
      <c r="B453" t="s">
        <v>7</v>
      </c>
      <c r="C453" t="s">
        <v>8</v>
      </c>
      <c r="D453" t="s">
        <v>17</v>
      </c>
      <c r="E453" t="s">
        <v>43</v>
      </c>
      <c r="F453" t="s">
        <v>150</v>
      </c>
      <c r="G453" t="s">
        <v>16</v>
      </c>
    </row>
    <row r="454" spans="1:7" x14ac:dyDescent="0.3">
      <c r="A454" s="1">
        <v>46169</v>
      </c>
      <c r="B454" t="s">
        <v>7</v>
      </c>
      <c r="C454" t="s">
        <v>8</v>
      </c>
      <c r="D454" t="s">
        <v>17</v>
      </c>
      <c r="E454" t="s">
        <v>18</v>
      </c>
      <c r="F454" t="s">
        <v>150</v>
      </c>
      <c r="G454" t="s">
        <v>16</v>
      </c>
    </row>
    <row r="455" spans="1:7" x14ac:dyDescent="0.3">
      <c r="A455" s="1">
        <v>46169</v>
      </c>
      <c r="B455" t="s">
        <v>7</v>
      </c>
      <c r="C455" t="s">
        <v>8</v>
      </c>
      <c r="D455" t="s">
        <v>17</v>
      </c>
      <c r="E455" t="s">
        <v>18</v>
      </c>
      <c r="F455" t="s">
        <v>150</v>
      </c>
      <c r="G455" t="s">
        <v>16</v>
      </c>
    </row>
    <row r="456" spans="1:7" x14ac:dyDescent="0.3">
      <c r="A456" s="1">
        <v>46169</v>
      </c>
      <c r="B456" t="s">
        <v>7</v>
      </c>
      <c r="C456" t="s">
        <v>8</v>
      </c>
      <c r="D456" t="s">
        <v>8</v>
      </c>
      <c r="E456" t="s">
        <v>10</v>
      </c>
      <c r="F456" t="s">
        <v>150</v>
      </c>
      <c r="G456" t="s">
        <v>16</v>
      </c>
    </row>
    <row r="457" spans="1:7" x14ac:dyDescent="0.3">
      <c r="A457" s="1">
        <v>46169</v>
      </c>
      <c r="B457" t="s">
        <v>7</v>
      </c>
      <c r="C457" t="s">
        <v>8</v>
      </c>
      <c r="D457" t="s">
        <v>42</v>
      </c>
      <c r="E457" t="s">
        <v>18</v>
      </c>
      <c r="F457" t="s">
        <v>150</v>
      </c>
      <c r="G457" t="s">
        <v>16</v>
      </c>
    </row>
    <row r="458" spans="1:7" x14ac:dyDescent="0.3">
      <c r="A458" s="1">
        <v>46169</v>
      </c>
      <c r="B458" t="s">
        <v>7</v>
      </c>
      <c r="C458" t="s">
        <v>7</v>
      </c>
      <c r="D458" t="s">
        <v>7</v>
      </c>
      <c r="E458" t="s">
        <v>10</v>
      </c>
      <c r="F458" t="s">
        <v>150</v>
      </c>
      <c r="G458" t="s">
        <v>16</v>
      </c>
    </row>
    <row r="459" spans="1:7" x14ac:dyDescent="0.3">
      <c r="A459" s="1">
        <v>46169</v>
      </c>
      <c r="B459" t="s">
        <v>7</v>
      </c>
      <c r="C459" t="s">
        <v>8</v>
      </c>
      <c r="D459" t="s">
        <v>8</v>
      </c>
      <c r="E459" t="s">
        <v>10</v>
      </c>
      <c r="F459" t="s">
        <v>150</v>
      </c>
      <c r="G459" t="s">
        <v>16</v>
      </c>
    </row>
    <row r="460" spans="1:7" x14ac:dyDescent="0.3">
      <c r="A460" s="1">
        <v>46169</v>
      </c>
      <c r="B460" t="s">
        <v>7</v>
      </c>
      <c r="C460" t="s">
        <v>56</v>
      </c>
      <c r="D460" t="s">
        <v>156</v>
      </c>
      <c r="E460" t="s">
        <v>18</v>
      </c>
      <c r="F460" t="s">
        <v>150</v>
      </c>
      <c r="G460" t="s">
        <v>16</v>
      </c>
    </row>
    <row r="461" spans="1:7" x14ac:dyDescent="0.3">
      <c r="A461" s="1">
        <v>46169</v>
      </c>
      <c r="B461" t="s">
        <v>46</v>
      </c>
      <c r="C461" t="s">
        <v>157</v>
      </c>
      <c r="D461" t="s">
        <v>158</v>
      </c>
      <c r="E461" t="s">
        <v>18</v>
      </c>
      <c r="F461" t="s">
        <v>150</v>
      </c>
      <c r="G461" t="s">
        <v>16</v>
      </c>
    </row>
    <row r="462" spans="1:7" x14ac:dyDescent="0.3">
      <c r="A462" s="1">
        <v>46169</v>
      </c>
      <c r="B462" t="s">
        <v>7</v>
      </c>
      <c r="C462" t="s">
        <v>8</v>
      </c>
      <c r="D462" t="s">
        <v>17</v>
      </c>
      <c r="E462" t="s">
        <v>18</v>
      </c>
      <c r="F462" t="s">
        <v>150</v>
      </c>
      <c r="G462" t="s">
        <v>16</v>
      </c>
    </row>
    <row r="463" spans="1:7" x14ac:dyDescent="0.3">
      <c r="A463" s="1">
        <v>46169</v>
      </c>
      <c r="B463" t="s">
        <v>46</v>
      </c>
      <c r="C463" t="s">
        <v>46</v>
      </c>
      <c r="D463" t="s">
        <v>159</v>
      </c>
      <c r="E463" t="s">
        <v>10</v>
      </c>
      <c r="F463" t="s">
        <v>150</v>
      </c>
      <c r="G463" t="s">
        <v>16</v>
      </c>
    </row>
    <row r="464" spans="1:7" x14ac:dyDescent="0.3">
      <c r="A464" s="1">
        <v>46169</v>
      </c>
      <c r="B464" t="s">
        <v>7</v>
      </c>
      <c r="C464" t="s">
        <v>8</v>
      </c>
      <c r="D464" t="s">
        <v>42</v>
      </c>
      <c r="E464" t="s">
        <v>18</v>
      </c>
      <c r="F464" t="s">
        <v>150</v>
      </c>
      <c r="G464" t="s">
        <v>16</v>
      </c>
    </row>
    <row r="465" spans="1:7" x14ac:dyDescent="0.3">
      <c r="A465" s="1">
        <v>46169</v>
      </c>
      <c r="B465" t="s">
        <v>7</v>
      </c>
      <c r="C465" t="s">
        <v>8</v>
      </c>
      <c r="D465" t="s">
        <v>42</v>
      </c>
      <c r="E465" t="s">
        <v>10</v>
      </c>
      <c r="F465" t="s">
        <v>150</v>
      </c>
      <c r="G465" t="s">
        <v>16</v>
      </c>
    </row>
    <row r="466" spans="1:7" x14ac:dyDescent="0.3">
      <c r="A466" s="1">
        <v>46169</v>
      </c>
      <c r="B466" t="s">
        <v>160</v>
      </c>
      <c r="C466" t="s">
        <v>160</v>
      </c>
      <c r="D466" t="s">
        <v>161</v>
      </c>
      <c r="E466" t="s">
        <v>18</v>
      </c>
      <c r="F466" t="s">
        <v>150</v>
      </c>
      <c r="G466" t="s">
        <v>16</v>
      </c>
    </row>
    <row r="467" spans="1:7" x14ac:dyDescent="0.3">
      <c r="A467" s="1">
        <v>46169</v>
      </c>
      <c r="B467" t="s">
        <v>29</v>
      </c>
      <c r="C467" t="s">
        <v>29</v>
      </c>
      <c r="D467" t="s">
        <v>56</v>
      </c>
      <c r="E467" t="s">
        <v>10</v>
      </c>
      <c r="F467" t="s">
        <v>150</v>
      </c>
      <c r="G467" t="s">
        <v>16</v>
      </c>
    </row>
    <row r="468" spans="1:7" x14ac:dyDescent="0.3">
      <c r="A468" s="1">
        <v>46169</v>
      </c>
      <c r="B468" t="s">
        <v>7</v>
      </c>
      <c r="C468" t="s">
        <v>8</v>
      </c>
      <c r="D468" t="s">
        <v>8</v>
      </c>
      <c r="E468" t="s">
        <v>18</v>
      </c>
      <c r="F468" t="s">
        <v>150</v>
      </c>
      <c r="G468" t="s">
        <v>16</v>
      </c>
    </row>
    <row r="469" spans="1:7" x14ac:dyDescent="0.3">
      <c r="A469" s="1">
        <v>46169</v>
      </c>
      <c r="B469" t="s">
        <v>7</v>
      </c>
      <c r="C469" t="s">
        <v>8</v>
      </c>
      <c r="D469" t="s">
        <v>42</v>
      </c>
      <c r="E469" t="s">
        <v>10</v>
      </c>
      <c r="F469" t="s">
        <v>150</v>
      </c>
      <c r="G469" t="s">
        <v>16</v>
      </c>
    </row>
    <row r="470" spans="1:7" x14ac:dyDescent="0.3">
      <c r="A470" s="1">
        <v>46169</v>
      </c>
      <c r="B470" t="s">
        <v>7</v>
      </c>
      <c r="C470" t="s">
        <v>19</v>
      </c>
      <c r="D470" t="s">
        <v>19</v>
      </c>
      <c r="E470" t="s">
        <v>18</v>
      </c>
      <c r="F470" t="s">
        <v>150</v>
      </c>
      <c r="G470" t="s">
        <v>16</v>
      </c>
    </row>
    <row r="471" spans="1:7" x14ac:dyDescent="0.3">
      <c r="A471" s="1">
        <v>46169</v>
      </c>
      <c r="B471" t="s">
        <v>7</v>
      </c>
      <c r="C471" t="s">
        <v>8</v>
      </c>
      <c r="D471" t="s">
        <v>24</v>
      </c>
      <c r="E471" t="s">
        <v>18</v>
      </c>
      <c r="F471" t="s">
        <v>162</v>
      </c>
      <c r="G471" t="s">
        <v>16</v>
      </c>
    </row>
    <row r="472" spans="1:7" x14ac:dyDescent="0.3">
      <c r="A472" s="1">
        <v>46169</v>
      </c>
      <c r="B472" t="s">
        <v>7</v>
      </c>
      <c r="C472" t="s">
        <v>8</v>
      </c>
      <c r="D472" t="s">
        <v>17</v>
      </c>
      <c r="E472" t="s">
        <v>18</v>
      </c>
      <c r="F472" t="s">
        <v>162</v>
      </c>
      <c r="G472" t="s">
        <v>16</v>
      </c>
    </row>
    <row r="473" spans="1:7" x14ac:dyDescent="0.3">
      <c r="A473" s="1">
        <v>46169</v>
      </c>
      <c r="B473" t="s">
        <v>7</v>
      </c>
      <c r="C473" t="s">
        <v>8</v>
      </c>
      <c r="D473" t="s">
        <v>17</v>
      </c>
      <c r="E473" t="s">
        <v>18</v>
      </c>
      <c r="F473" t="s">
        <v>162</v>
      </c>
      <c r="G473" t="s">
        <v>12</v>
      </c>
    </row>
    <row r="474" spans="1:7" x14ac:dyDescent="0.3">
      <c r="A474" s="1">
        <v>46169</v>
      </c>
      <c r="B474" t="s">
        <v>7</v>
      </c>
      <c r="C474" t="s">
        <v>13</v>
      </c>
      <c r="D474" t="s">
        <v>13</v>
      </c>
      <c r="E474" t="s">
        <v>18</v>
      </c>
      <c r="F474" t="s">
        <v>162</v>
      </c>
      <c r="G474" t="s">
        <v>16</v>
      </c>
    </row>
    <row r="475" spans="1:7" x14ac:dyDescent="0.3">
      <c r="A475" s="1">
        <v>46169</v>
      </c>
      <c r="B475" t="s">
        <v>7</v>
      </c>
      <c r="C475" t="s">
        <v>26</v>
      </c>
      <c r="D475" t="s">
        <v>44</v>
      </c>
      <c r="E475" t="s">
        <v>18</v>
      </c>
      <c r="F475" t="s">
        <v>162</v>
      </c>
      <c r="G475" t="s">
        <v>16</v>
      </c>
    </row>
    <row r="476" spans="1:7" x14ac:dyDescent="0.3">
      <c r="A476" s="1">
        <v>46169</v>
      </c>
      <c r="B476" t="s">
        <v>7</v>
      </c>
      <c r="C476" t="s">
        <v>8</v>
      </c>
      <c r="D476" t="s">
        <v>89</v>
      </c>
      <c r="E476" t="s">
        <v>18</v>
      </c>
      <c r="F476" t="s">
        <v>162</v>
      </c>
      <c r="G476" t="s">
        <v>16</v>
      </c>
    </row>
    <row r="477" spans="1:7" x14ac:dyDescent="0.3">
      <c r="A477" s="1">
        <v>46169</v>
      </c>
      <c r="B477" t="s">
        <v>7</v>
      </c>
      <c r="C477" t="s">
        <v>8</v>
      </c>
      <c r="D477" t="s">
        <v>17</v>
      </c>
      <c r="E477" t="s">
        <v>10</v>
      </c>
      <c r="F477" t="s">
        <v>162</v>
      </c>
      <c r="G477" t="s">
        <v>12</v>
      </c>
    </row>
    <row r="478" spans="1:7" x14ac:dyDescent="0.3">
      <c r="A478" s="1">
        <v>46169</v>
      </c>
      <c r="B478" t="s">
        <v>7</v>
      </c>
      <c r="C478" t="s">
        <v>8</v>
      </c>
      <c r="D478" t="s">
        <v>17</v>
      </c>
      <c r="E478" t="s">
        <v>10</v>
      </c>
      <c r="F478" t="s">
        <v>162</v>
      </c>
      <c r="G478" t="s">
        <v>12</v>
      </c>
    </row>
    <row r="479" spans="1:7" x14ac:dyDescent="0.3">
      <c r="A479" s="1">
        <v>46169</v>
      </c>
      <c r="B479" t="s">
        <v>7</v>
      </c>
      <c r="C479" t="s">
        <v>8</v>
      </c>
      <c r="D479" t="s">
        <v>8</v>
      </c>
      <c r="E479" t="s">
        <v>18</v>
      </c>
      <c r="F479" t="s">
        <v>162</v>
      </c>
      <c r="G479" t="s">
        <v>16</v>
      </c>
    </row>
    <row r="480" spans="1:7" x14ac:dyDescent="0.3">
      <c r="A480" s="1">
        <v>46169</v>
      </c>
      <c r="B480" t="s">
        <v>7</v>
      </c>
      <c r="C480" t="s">
        <v>8</v>
      </c>
      <c r="D480" t="s">
        <v>89</v>
      </c>
      <c r="E480" t="s">
        <v>10</v>
      </c>
      <c r="F480" t="s">
        <v>162</v>
      </c>
      <c r="G480" t="s">
        <v>12</v>
      </c>
    </row>
    <row r="481" spans="1:7" x14ac:dyDescent="0.3">
      <c r="A481" s="1">
        <v>46169</v>
      </c>
      <c r="B481" t="s">
        <v>7</v>
      </c>
      <c r="C481" t="s">
        <v>8</v>
      </c>
      <c r="D481" t="s">
        <v>17</v>
      </c>
      <c r="E481" t="s">
        <v>10</v>
      </c>
      <c r="F481" t="s">
        <v>162</v>
      </c>
      <c r="G481" t="s">
        <v>16</v>
      </c>
    </row>
    <row r="482" spans="1:7" x14ac:dyDescent="0.3">
      <c r="A482" s="1">
        <v>46169</v>
      </c>
      <c r="B482" t="s">
        <v>7</v>
      </c>
      <c r="C482" t="s">
        <v>8</v>
      </c>
      <c r="D482" t="s">
        <v>22</v>
      </c>
      <c r="E482" t="s">
        <v>18</v>
      </c>
      <c r="F482" t="s">
        <v>162</v>
      </c>
      <c r="G482" t="s">
        <v>16</v>
      </c>
    </row>
    <row r="483" spans="1:7" x14ac:dyDescent="0.3">
      <c r="A483" s="1">
        <v>46169</v>
      </c>
      <c r="B483" t="s">
        <v>7</v>
      </c>
      <c r="C483" t="s">
        <v>8</v>
      </c>
      <c r="D483" t="s">
        <v>71</v>
      </c>
      <c r="E483" t="s">
        <v>35</v>
      </c>
      <c r="F483" t="s">
        <v>162</v>
      </c>
      <c r="G483" t="s">
        <v>12</v>
      </c>
    </row>
    <row r="484" spans="1:7" x14ac:dyDescent="0.3">
      <c r="A484" s="1">
        <v>46169</v>
      </c>
      <c r="B484" t="s">
        <v>29</v>
      </c>
      <c r="C484" t="s">
        <v>37</v>
      </c>
      <c r="D484" t="s">
        <v>70</v>
      </c>
      <c r="E484" t="s">
        <v>10</v>
      </c>
      <c r="F484" t="s">
        <v>162</v>
      </c>
      <c r="G484" t="s">
        <v>16</v>
      </c>
    </row>
    <row r="485" spans="1:7" x14ac:dyDescent="0.3">
      <c r="A485" s="1">
        <v>46169</v>
      </c>
      <c r="B485" t="s">
        <v>7</v>
      </c>
      <c r="C485" t="s">
        <v>26</v>
      </c>
      <c r="D485" t="s">
        <v>26</v>
      </c>
      <c r="E485" t="s">
        <v>10</v>
      </c>
      <c r="F485" t="s">
        <v>162</v>
      </c>
      <c r="G485" t="s">
        <v>16</v>
      </c>
    </row>
    <row r="486" spans="1:7" x14ac:dyDescent="0.3">
      <c r="A486" s="1">
        <v>46169</v>
      </c>
      <c r="B486" t="s">
        <v>7</v>
      </c>
      <c r="C486" t="s">
        <v>8</v>
      </c>
      <c r="D486" t="s">
        <v>17</v>
      </c>
      <c r="E486" t="s">
        <v>18</v>
      </c>
      <c r="F486" t="s">
        <v>162</v>
      </c>
      <c r="G486" t="s">
        <v>12</v>
      </c>
    </row>
    <row r="487" spans="1:7" x14ac:dyDescent="0.3">
      <c r="A487" s="1">
        <v>46169</v>
      </c>
      <c r="B487" t="s">
        <v>7</v>
      </c>
      <c r="C487" t="s">
        <v>13</v>
      </c>
      <c r="D487" t="s">
        <v>13</v>
      </c>
      <c r="E487" t="s">
        <v>18</v>
      </c>
      <c r="F487" t="s">
        <v>162</v>
      </c>
      <c r="G487" t="s">
        <v>16</v>
      </c>
    </row>
    <row r="488" spans="1:7" x14ac:dyDescent="0.3">
      <c r="A488" s="1">
        <v>46169</v>
      </c>
      <c r="B488" t="s">
        <v>7</v>
      </c>
      <c r="C488" t="s">
        <v>8</v>
      </c>
      <c r="D488" t="s">
        <v>22</v>
      </c>
      <c r="E488" t="s">
        <v>18</v>
      </c>
      <c r="F488" t="s">
        <v>162</v>
      </c>
      <c r="G488" t="s">
        <v>16</v>
      </c>
    </row>
    <row r="489" spans="1:7" x14ac:dyDescent="0.3">
      <c r="A489" s="1">
        <v>46169</v>
      </c>
      <c r="B489" t="s">
        <v>7</v>
      </c>
      <c r="C489" t="s">
        <v>8</v>
      </c>
      <c r="D489" t="s">
        <v>23</v>
      </c>
      <c r="E489" t="s">
        <v>18</v>
      </c>
      <c r="F489" t="s">
        <v>162</v>
      </c>
      <c r="G489" t="s">
        <v>16</v>
      </c>
    </row>
    <row r="490" spans="1:7" x14ac:dyDescent="0.3">
      <c r="A490" s="1">
        <v>46169</v>
      </c>
      <c r="B490" t="s">
        <v>7</v>
      </c>
      <c r="C490" t="s">
        <v>8</v>
      </c>
      <c r="D490" t="s">
        <v>22</v>
      </c>
      <c r="E490" t="s">
        <v>18</v>
      </c>
      <c r="F490" t="s">
        <v>162</v>
      </c>
      <c r="G490" t="s">
        <v>16</v>
      </c>
    </row>
    <row r="491" spans="1:7" x14ac:dyDescent="0.3">
      <c r="A491" s="1">
        <v>46169</v>
      </c>
      <c r="B491" t="s">
        <v>7</v>
      </c>
      <c r="C491" t="s">
        <v>48</v>
      </c>
      <c r="D491" t="s">
        <v>49</v>
      </c>
      <c r="E491" t="s">
        <v>10</v>
      </c>
      <c r="F491" t="s">
        <v>162</v>
      </c>
      <c r="G491" t="s">
        <v>16</v>
      </c>
    </row>
    <row r="492" spans="1:7" x14ac:dyDescent="0.3">
      <c r="A492" s="1">
        <v>46169</v>
      </c>
      <c r="B492" t="s">
        <v>7</v>
      </c>
      <c r="C492" t="s">
        <v>8</v>
      </c>
      <c r="D492" t="s">
        <v>106</v>
      </c>
      <c r="E492" t="s">
        <v>18</v>
      </c>
      <c r="F492" t="s">
        <v>162</v>
      </c>
      <c r="G492" t="s">
        <v>16</v>
      </c>
    </row>
    <row r="493" spans="1:7" x14ac:dyDescent="0.3">
      <c r="A493" s="1">
        <v>46169</v>
      </c>
      <c r="B493" t="s">
        <v>7</v>
      </c>
      <c r="C493" t="s">
        <v>8</v>
      </c>
      <c r="D493" t="s">
        <v>22</v>
      </c>
      <c r="E493" t="s">
        <v>18</v>
      </c>
      <c r="F493" t="s">
        <v>162</v>
      </c>
      <c r="G493" t="s">
        <v>12</v>
      </c>
    </row>
    <row r="494" spans="1:7" x14ac:dyDescent="0.3">
      <c r="A494" s="1">
        <v>46169</v>
      </c>
      <c r="B494" t="s">
        <v>7</v>
      </c>
      <c r="C494" t="s">
        <v>8</v>
      </c>
      <c r="D494" t="s">
        <v>17</v>
      </c>
      <c r="E494" t="s">
        <v>18</v>
      </c>
      <c r="F494" t="s">
        <v>162</v>
      </c>
      <c r="G494" t="s">
        <v>12</v>
      </c>
    </row>
    <row r="495" spans="1:7" x14ac:dyDescent="0.3">
      <c r="A495" s="1">
        <v>46169</v>
      </c>
      <c r="B495" t="s">
        <v>7</v>
      </c>
      <c r="C495" t="s">
        <v>19</v>
      </c>
      <c r="D495" t="s">
        <v>163</v>
      </c>
      <c r="E495" t="s">
        <v>18</v>
      </c>
      <c r="F495" t="s">
        <v>162</v>
      </c>
      <c r="G495" t="s">
        <v>16</v>
      </c>
    </row>
    <row r="496" spans="1:7" x14ac:dyDescent="0.3">
      <c r="A496" s="1">
        <v>46169</v>
      </c>
      <c r="B496" t="s">
        <v>7</v>
      </c>
      <c r="C496" t="s">
        <v>48</v>
      </c>
      <c r="D496" t="s">
        <v>112</v>
      </c>
      <c r="E496" t="s">
        <v>18</v>
      </c>
      <c r="F496" t="s">
        <v>162</v>
      </c>
      <c r="G496" t="s">
        <v>16</v>
      </c>
    </row>
    <row r="497" spans="1:7" x14ac:dyDescent="0.3">
      <c r="A497" s="1">
        <v>46169</v>
      </c>
      <c r="B497" t="s">
        <v>7</v>
      </c>
      <c r="C497" t="s">
        <v>26</v>
      </c>
      <c r="D497" t="s">
        <v>101</v>
      </c>
      <c r="E497" t="s">
        <v>18</v>
      </c>
      <c r="F497" t="s">
        <v>162</v>
      </c>
      <c r="G497" t="s">
        <v>16</v>
      </c>
    </row>
    <row r="498" spans="1:7" x14ac:dyDescent="0.3">
      <c r="A498" s="1">
        <v>46169</v>
      </c>
      <c r="B498" t="s">
        <v>7</v>
      </c>
      <c r="C498" t="s">
        <v>8</v>
      </c>
      <c r="D498" t="s">
        <v>143</v>
      </c>
      <c r="E498" t="s">
        <v>41</v>
      </c>
      <c r="F498" t="s">
        <v>162</v>
      </c>
      <c r="G498" t="s">
        <v>16</v>
      </c>
    </row>
    <row r="499" spans="1:7" x14ac:dyDescent="0.3">
      <c r="A499" s="1">
        <v>46169</v>
      </c>
      <c r="B499" t="s">
        <v>7</v>
      </c>
      <c r="C499" t="s">
        <v>8</v>
      </c>
      <c r="D499" t="s">
        <v>22</v>
      </c>
      <c r="E499" t="s">
        <v>43</v>
      </c>
      <c r="F499" t="s">
        <v>162</v>
      </c>
      <c r="G499" t="s">
        <v>16</v>
      </c>
    </row>
    <row r="500" spans="1:7" x14ac:dyDescent="0.3">
      <c r="A500" s="1">
        <v>46169</v>
      </c>
      <c r="B500" t="s">
        <v>7</v>
      </c>
      <c r="C500" t="s">
        <v>8</v>
      </c>
      <c r="D500" t="s">
        <v>89</v>
      </c>
      <c r="E500" t="s">
        <v>10</v>
      </c>
      <c r="F500" t="s">
        <v>162</v>
      </c>
      <c r="G500" t="s">
        <v>16</v>
      </c>
    </row>
    <row r="501" spans="1:7" x14ac:dyDescent="0.3">
      <c r="A501" s="1">
        <v>46169</v>
      </c>
      <c r="B501" t="s">
        <v>7</v>
      </c>
      <c r="C501" t="s">
        <v>8</v>
      </c>
      <c r="D501" t="s">
        <v>8</v>
      </c>
      <c r="E501" t="s">
        <v>18</v>
      </c>
      <c r="F501" t="s">
        <v>162</v>
      </c>
      <c r="G501" t="s">
        <v>16</v>
      </c>
    </row>
    <row r="502" spans="1:7" x14ac:dyDescent="0.3">
      <c r="A502" s="1">
        <v>46169</v>
      </c>
      <c r="B502" t="s">
        <v>7</v>
      </c>
      <c r="C502" t="s">
        <v>19</v>
      </c>
      <c r="D502" t="s">
        <v>164</v>
      </c>
      <c r="E502" t="s">
        <v>18</v>
      </c>
      <c r="F502" t="s">
        <v>162</v>
      </c>
      <c r="G502" t="s">
        <v>16</v>
      </c>
    </row>
    <row r="503" spans="1:7" x14ac:dyDescent="0.3">
      <c r="A503" s="1">
        <v>46169</v>
      </c>
      <c r="B503" t="s">
        <v>7</v>
      </c>
      <c r="C503" t="s">
        <v>13</v>
      </c>
      <c r="D503" t="s">
        <v>13</v>
      </c>
      <c r="E503" t="s">
        <v>10</v>
      </c>
      <c r="F503" t="s">
        <v>162</v>
      </c>
      <c r="G503" t="s">
        <v>16</v>
      </c>
    </row>
    <row r="504" spans="1:7" x14ac:dyDescent="0.3">
      <c r="A504" s="1">
        <v>46169</v>
      </c>
      <c r="B504" t="s">
        <v>7</v>
      </c>
      <c r="C504" t="s">
        <v>26</v>
      </c>
      <c r="D504" t="s">
        <v>26</v>
      </c>
      <c r="E504" t="s">
        <v>10</v>
      </c>
      <c r="F504" t="s">
        <v>162</v>
      </c>
      <c r="G504" t="s">
        <v>16</v>
      </c>
    </row>
    <row r="505" spans="1:7" x14ac:dyDescent="0.3">
      <c r="A505" s="1">
        <v>46169</v>
      </c>
      <c r="B505" t="s">
        <v>7</v>
      </c>
      <c r="C505" t="s">
        <v>26</v>
      </c>
      <c r="D505" t="s">
        <v>26</v>
      </c>
      <c r="E505" t="s">
        <v>18</v>
      </c>
      <c r="F505" t="s">
        <v>162</v>
      </c>
      <c r="G505" t="s">
        <v>16</v>
      </c>
    </row>
    <row r="506" spans="1:7" x14ac:dyDescent="0.3">
      <c r="A506" s="1">
        <v>46169</v>
      </c>
      <c r="B506" t="s">
        <v>7</v>
      </c>
      <c r="C506" t="s">
        <v>8</v>
      </c>
      <c r="D506" t="s">
        <v>34</v>
      </c>
      <c r="E506" t="s">
        <v>18</v>
      </c>
      <c r="F506" t="s">
        <v>162</v>
      </c>
      <c r="G506" t="s">
        <v>16</v>
      </c>
    </row>
    <row r="507" spans="1:7" x14ac:dyDescent="0.3">
      <c r="A507" s="1">
        <v>46169</v>
      </c>
      <c r="B507" t="s">
        <v>7</v>
      </c>
      <c r="C507" t="s">
        <v>8</v>
      </c>
      <c r="D507" t="s">
        <v>8</v>
      </c>
      <c r="E507" t="s">
        <v>18</v>
      </c>
      <c r="F507" t="s">
        <v>162</v>
      </c>
      <c r="G507" t="s">
        <v>16</v>
      </c>
    </row>
    <row r="508" spans="1:7" x14ac:dyDescent="0.3">
      <c r="A508" s="1">
        <v>46169</v>
      </c>
      <c r="B508" t="s">
        <v>7</v>
      </c>
      <c r="C508" t="s">
        <v>13</v>
      </c>
      <c r="D508" t="s">
        <v>165</v>
      </c>
      <c r="E508" t="s">
        <v>18</v>
      </c>
      <c r="F508" t="s">
        <v>162</v>
      </c>
      <c r="G508" t="s">
        <v>16</v>
      </c>
    </row>
    <row r="509" spans="1:7" x14ac:dyDescent="0.3">
      <c r="A509" s="1">
        <v>46169</v>
      </c>
      <c r="B509" t="s">
        <v>7</v>
      </c>
      <c r="C509" t="s">
        <v>8</v>
      </c>
      <c r="D509" t="s">
        <v>8</v>
      </c>
      <c r="E509" t="s">
        <v>10</v>
      </c>
      <c r="F509" t="s">
        <v>162</v>
      </c>
      <c r="G509" t="s">
        <v>16</v>
      </c>
    </row>
    <row r="510" spans="1:7" x14ac:dyDescent="0.3">
      <c r="A510" s="1">
        <v>46169</v>
      </c>
      <c r="B510" t="s">
        <v>7</v>
      </c>
      <c r="C510" t="s">
        <v>8</v>
      </c>
      <c r="D510" t="s">
        <v>89</v>
      </c>
      <c r="E510" t="s">
        <v>18</v>
      </c>
      <c r="F510" t="s">
        <v>162</v>
      </c>
      <c r="G510" t="s">
        <v>16</v>
      </c>
    </row>
    <row r="511" spans="1:7" x14ac:dyDescent="0.3">
      <c r="A511" s="1">
        <v>46169</v>
      </c>
      <c r="B511" t="s">
        <v>7</v>
      </c>
      <c r="C511" t="s">
        <v>8</v>
      </c>
      <c r="D511" t="s">
        <v>166</v>
      </c>
      <c r="E511" t="s">
        <v>18</v>
      </c>
      <c r="F511" t="s">
        <v>162</v>
      </c>
      <c r="G511" t="s">
        <v>16</v>
      </c>
    </row>
    <row r="512" spans="1:7" x14ac:dyDescent="0.3">
      <c r="A512" s="1">
        <v>46169</v>
      </c>
      <c r="B512" t="s">
        <v>7</v>
      </c>
      <c r="C512" t="s">
        <v>13</v>
      </c>
      <c r="D512" t="s">
        <v>167</v>
      </c>
      <c r="E512" t="s">
        <v>10</v>
      </c>
      <c r="F512" t="s">
        <v>162</v>
      </c>
      <c r="G512" t="s">
        <v>16</v>
      </c>
    </row>
    <row r="513" spans="1:7" x14ac:dyDescent="0.3">
      <c r="A513" s="1">
        <v>46169</v>
      </c>
      <c r="B513" t="s">
        <v>7</v>
      </c>
      <c r="C513" t="s">
        <v>8</v>
      </c>
      <c r="D513" t="s">
        <v>22</v>
      </c>
      <c r="E513" t="s">
        <v>18</v>
      </c>
      <c r="F513" t="s">
        <v>162</v>
      </c>
      <c r="G513" t="s">
        <v>16</v>
      </c>
    </row>
    <row r="514" spans="1:7" x14ac:dyDescent="0.3">
      <c r="A514" s="1">
        <v>46169</v>
      </c>
      <c r="B514" t="s">
        <v>7</v>
      </c>
      <c r="C514" t="s">
        <v>8</v>
      </c>
      <c r="D514" t="s">
        <v>8</v>
      </c>
      <c r="E514" t="s">
        <v>18</v>
      </c>
      <c r="F514" t="s">
        <v>162</v>
      </c>
      <c r="G514" t="s">
        <v>16</v>
      </c>
    </row>
    <row r="515" spans="1:7" x14ac:dyDescent="0.3">
      <c r="A515" s="1">
        <v>46169</v>
      </c>
      <c r="B515" t="s">
        <v>7</v>
      </c>
      <c r="C515" t="s">
        <v>8</v>
      </c>
      <c r="D515" t="s">
        <v>17</v>
      </c>
      <c r="E515" t="s">
        <v>10</v>
      </c>
      <c r="F515" t="s">
        <v>93</v>
      </c>
      <c r="G515" t="s">
        <v>16</v>
      </c>
    </row>
    <row r="516" spans="1:7" x14ac:dyDescent="0.3">
      <c r="A516" s="1">
        <v>46169</v>
      </c>
      <c r="B516" t="s">
        <v>7</v>
      </c>
      <c r="C516" t="s">
        <v>26</v>
      </c>
      <c r="D516" t="s">
        <v>103</v>
      </c>
      <c r="E516" t="s">
        <v>10</v>
      </c>
      <c r="F516" t="s">
        <v>93</v>
      </c>
      <c r="G516" t="s">
        <v>16</v>
      </c>
    </row>
    <row r="517" spans="1:7" x14ac:dyDescent="0.3">
      <c r="A517" s="1">
        <v>46169</v>
      </c>
      <c r="B517" t="s">
        <v>7</v>
      </c>
      <c r="C517" t="s">
        <v>8</v>
      </c>
      <c r="D517" t="s">
        <v>17</v>
      </c>
      <c r="E517" t="s">
        <v>18</v>
      </c>
      <c r="F517" t="s">
        <v>93</v>
      </c>
      <c r="G517" t="s">
        <v>16</v>
      </c>
    </row>
    <row r="518" spans="1:7" x14ac:dyDescent="0.3">
      <c r="A518" s="1">
        <v>46169</v>
      </c>
      <c r="B518" t="s">
        <v>7</v>
      </c>
      <c r="C518" t="s">
        <v>8</v>
      </c>
      <c r="D518" t="s">
        <v>42</v>
      </c>
      <c r="E518" t="s">
        <v>18</v>
      </c>
      <c r="F518" t="s">
        <v>93</v>
      </c>
      <c r="G518" t="s">
        <v>12</v>
      </c>
    </row>
    <row r="519" spans="1:7" x14ac:dyDescent="0.3">
      <c r="A519" s="1">
        <v>46169</v>
      </c>
      <c r="B519" t="s">
        <v>7</v>
      </c>
      <c r="C519" t="s">
        <v>19</v>
      </c>
      <c r="D519" t="s">
        <v>164</v>
      </c>
      <c r="E519" t="s">
        <v>18</v>
      </c>
      <c r="F519" t="s">
        <v>93</v>
      </c>
      <c r="G519" t="s">
        <v>16</v>
      </c>
    </row>
    <row r="520" spans="1:7" x14ac:dyDescent="0.3">
      <c r="A520" s="1">
        <v>46169</v>
      </c>
      <c r="B520" t="s">
        <v>7</v>
      </c>
      <c r="C520" t="s">
        <v>8</v>
      </c>
      <c r="D520" t="s">
        <v>8</v>
      </c>
      <c r="E520" t="s">
        <v>18</v>
      </c>
      <c r="F520" t="s">
        <v>93</v>
      </c>
      <c r="G520" t="s">
        <v>16</v>
      </c>
    </row>
    <row r="521" spans="1:7" x14ac:dyDescent="0.3">
      <c r="A521" s="1">
        <v>46169</v>
      </c>
      <c r="B521" t="s">
        <v>7</v>
      </c>
      <c r="C521" t="s">
        <v>8</v>
      </c>
      <c r="D521" t="s">
        <v>22</v>
      </c>
      <c r="E521" t="s">
        <v>10</v>
      </c>
      <c r="F521" t="s">
        <v>93</v>
      </c>
      <c r="G521" t="s">
        <v>16</v>
      </c>
    </row>
    <row r="522" spans="1:7" x14ac:dyDescent="0.3">
      <c r="A522" s="1">
        <v>46169</v>
      </c>
      <c r="B522" t="s">
        <v>7</v>
      </c>
      <c r="C522" t="s">
        <v>8</v>
      </c>
      <c r="D522" t="s">
        <v>17</v>
      </c>
      <c r="E522" t="s">
        <v>18</v>
      </c>
      <c r="F522" t="s">
        <v>93</v>
      </c>
      <c r="G522" t="s">
        <v>12</v>
      </c>
    </row>
    <row r="523" spans="1:7" x14ac:dyDescent="0.3">
      <c r="A523" s="1">
        <v>46169</v>
      </c>
      <c r="B523" t="s">
        <v>7</v>
      </c>
      <c r="C523" t="s">
        <v>19</v>
      </c>
      <c r="D523" t="s">
        <v>85</v>
      </c>
      <c r="E523" t="s">
        <v>18</v>
      </c>
      <c r="F523" t="s">
        <v>93</v>
      </c>
      <c r="G523" t="s">
        <v>16</v>
      </c>
    </row>
    <row r="524" spans="1:7" x14ac:dyDescent="0.3">
      <c r="A524" s="1">
        <v>46169</v>
      </c>
      <c r="B524" t="s">
        <v>7</v>
      </c>
      <c r="C524" t="s">
        <v>26</v>
      </c>
      <c r="D524" t="s">
        <v>103</v>
      </c>
      <c r="E524" t="s">
        <v>41</v>
      </c>
      <c r="F524" t="s">
        <v>93</v>
      </c>
      <c r="G524" t="s">
        <v>12</v>
      </c>
    </row>
    <row r="525" spans="1:7" x14ac:dyDescent="0.3">
      <c r="A525" s="1">
        <v>46169</v>
      </c>
      <c r="B525" t="s">
        <v>7</v>
      </c>
      <c r="C525" t="s">
        <v>8</v>
      </c>
      <c r="D525" t="s">
        <v>17</v>
      </c>
      <c r="E525" t="s">
        <v>18</v>
      </c>
      <c r="F525" t="s">
        <v>93</v>
      </c>
      <c r="G525" t="s">
        <v>12</v>
      </c>
    </row>
    <row r="526" spans="1:7" x14ac:dyDescent="0.3">
      <c r="A526" s="1">
        <v>46169</v>
      </c>
      <c r="B526" t="s">
        <v>7</v>
      </c>
      <c r="C526" t="s">
        <v>8</v>
      </c>
      <c r="D526" t="s">
        <v>17</v>
      </c>
      <c r="E526" t="s">
        <v>18</v>
      </c>
      <c r="F526" t="s">
        <v>93</v>
      </c>
      <c r="G526" t="s">
        <v>16</v>
      </c>
    </row>
    <row r="527" spans="1:7" x14ac:dyDescent="0.3">
      <c r="A527" s="1">
        <v>46169</v>
      </c>
      <c r="B527" t="s">
        <v>7</v>
      </c>
      <c r="C527" t="s">
        <v>8</v>
      </c>
      <c r="D527" t="s">
        <v>17</v>
      </c>
      <c r="E527" t="s">
        <v>10</v>
      </c>
      <c r="F527" t="s">
        <v>93</v>
      </c>
      <c r="G527" t="s">
        <v>16</v>
      </c>
    </row>
    <row r="528" spans="1:7" x14ac:dyDescent="0.3">
      <c r="A528" s="1">
        <v>46169</v>
      </c>
      <c r="B528" t="s">
        <v>7</v>
      </c>
      <c r="C528" t="s">
        <v>61</v>
      </c>
      <c r="D528" t="s">
        <v>61</v>
      </c>
      <c r="E528" t="s">
        <v>18</v>
      </c>
      <c r="F528" t="s">
        <v>93</v>
      </c>
      <c r="G528" t="s">
        <v>16</v>
      </c>
    </row>
    <row r="529" spans="1:7" x14ac:dyDescent="0.3">
      <c r="A529" s="1">
        <v>46169</v>
      </c>
      <c r="B529" t="s">
        <v>7</v>
      </c>
      <c r="C529" t="s">
        <v>61</v>
      </c>
      <c r="D529" t="s">
        <v>61</v>
      </c>
      <c r="E529" t="s">
        <v>18</v>
      </c>
      <c r="F529" t="s">
        <v>93</v>
      </c>
      <c r="G529" t="s">
        <v>12</v>
      </c>
    </row>
    <row r="530" spans="1:7" x14ac:dyDescent="0.3">
      <c r="A530" s="1">
        <v>46169</v>
      </c>
      <c r="B530" t="s">
        <v>46</v>
      </c>
      <c r="C530" t="s">
        <v>46</v>
      </c>
      <c r="D530" t="s">
        <v>168</v>
      </c>
      <c r="E530" t="s">
        <v>18</v>
      </c>
      <c r="F530" t="s">
        <v>93</v>
      </c>
      <c r="G530" t="s">
        <v>16</v>
      </c>
    </row>
    <row r="531" spans="1:7" x14ac:dyDescent="0.3">
      <c r="A531" s="1">
        <v>46169</v>
      </c>
      <c r="B531" t="s">
        <v>7</v>
      </c>
      <c r="C531" t="s">
        <v>8</v>
      </c>
      <c r="D531" t="s">
        <v>22</v>
      </c>
      <c r="E531" t="s">
        <v>18</v>
      </c>
      <c r="F531" t="s">
        <v>93</v>
      </c>
      <c r="G531" t="s">
        <v>16</v>
      </c>
    </row>
    <row r="532" spans="1:7" x14ac:dyDescent="0.3">
      <c r="A532" s="1">
        <v>46169</v>
      </c>
      <c r="B532" t="s">
        <v>7</v>
      </c>
      <c r="C532" t="s">
        <v>8</v>
      </c>
      <c r="D532" t="s">
        <v>71</v>
      </c>
      <c r="E532" t="s">
        <v>18</v>
      </c>
      <c r="F532" t="s">
        <v>93</v>
      </c>
      <c r="G532" t="s">
        <v>16</v>
      </c>
    </row>
    <row r="533" spans="1:7" x14ac:dyDescent="0.3">
      <c r="A533" s="1">
        <v>46169</v>
      </c>
      <c r="B533" t="s">
        <v>7</v>
      </c>
      <c r="C533" t="s">
        <v>8</v>
      </c>
      <c r="D533" t="s">
        <v>169</v>
      </c>
      <c r="E533" t="s">
        <v>18</v>
      </c>
      <c r="F533" t="s">
        <v>93</v>
      </c>
      <c r="G533" t="s">
        <v>12</v>
      </c>
    </row>
    <row r="534" spans="1:7" x14ac:dyDescent="0.3">
      <c r="A534" s="1">
        <v>46169</v>
      </c>
      <c r="B534" t="s">
        <v>7</v>
      </c>
      <c r="C534" t="s">
        <v>26</v>
      </c>
      <c r="D534" t="s">
        <v>170</v>
      </c>
      <c r="E534" t="s">
        <v>18</v>
      </c>
      <c r="F534" t="s">
        <v>93</v>
      </c>
      <c r="G534" t="s">
        <v>16</v>
      </c>
    </row>
    <row r="535" spans="1:7" x14ac:dyDescent="0.3">
      <c r="A535" s="1">
        <v>46169</v>
      </c>
      <c r="B535" t="s">
        <v>7</v>
      </c>
      <c r="C535" t="s">
        <v>19</v>
      </c>
      <c r="D535" t="s">
        <v>57</v>
      </c>
      <c r="E535" t="s">
        <v>18</v>
      </c>
      <c r="F535" t="s">
        <v>93</v>
      </c>
      <c r="G535" t="s">
        <v>12</v>
      </c>
    </row>
    <row r="536" spans="1:7" x14ac:dyDescent="0.3">
      <c r="A536" s="1">
        <v>46169</v>
      </c>
      <c r="B536" t="s">
        <v>7</v>
      </c>
      <c r="C536" t="s">
        <v>8</v>
      </c>
      <c r="D536" t="s">
        <v>17</v>
      </c>
      <c r="E536" t="s">
        <v>18</v>
      </c>
      <c r="F536" t="s">
        <v>93</v>
      </c>
      <c r="G536" t="s">
        <v>16</v>
      </c>
    </row>
    <row r="537" spans="1:7" x14ac:dyDescent="0.3">
      <c r="A537" s="1">
        <v>46169</v>
      </c>
      <c r="B537" t="s">
        <v>7</v>
      </c>
      <c r="C537" t="s">
        <v>8</v>
      </c>
      <c r="D537" t="s">
        <v>34</v>
      </c>
      <c r="E537" t="s">
        <v>18</v>
      </c>
      <c r="F537" t="s">
        <v>93</v>
      </c>
      <c r="G537" t="s">
        <v>16</v>
      </c>
    </row>
    <row r="538" spans="1:7" x14ac:dyDescent="0.3">
      <c r="A538" s="1">
        <v>46169</v>
      </c>
      <c r="B538" t="s">
        <v>7</v>
      </c>
      <c r="C538" t="s">
        <v>8</v>
      </c>
      <c r="D538" t="s">
        <v>8</v>
      </c>
      <c r="E538" t="s">
        <v>10</v>
      </c>
      <c r="F538" t="s">
        <v>93</v>
      </c>
      <c r="G538" t="s">
        <v>12</v>
      </c>
    </row>
    <row r="539" spans="1:7" x14ac:dyDescent="0.3">
      <c r="A539" s="1">
        <v>46169</v>
      </c>
      <c r="B539" t="s">
        <v>29</v>
      </c>
      <c r="C539" t="s">
        <v>29</v>
      </c>
      <c r="D539" t="s">
        <v>56</v>
      </c>
      <c r="E539" t="s">
        <v>18</v>
      </c>
      <c r="F539" t="s">
        <v>93</v>
      </c>
      <c r="G539" t="s">
        <v>16</v>
      </c>
    </row>
    <row r="540" spans="1:7" x14ac:dyDescent="0.3">
      <c r="A540" s="1">
        <v>46169</v>
      </c>
      <c r="B540" t="s">
        <v>7</v>
      </c>
      <c r="C540" t="s">
        <v>8</v>
      </c>
      <c r="D540" t="s">
        <v>17</v>
      </c>
      <c r="E540" t="s">
        <v>10</v>
      </c>
      <c r="F540" t="s">
        <v>93</v>
      </c>
      <c r="G540" t="s">
        <v>16</v>
      </c>
    </row>
    <row r="541" spans="1:7" x14ac:dyDescent="0.3">
      <c r="A541" s="1">
        <v>46169</v>
      </c>
      <c r="B541" t="s">
        <v>7</v>
      </c>
      <c r="C541" t="s">
        <v>8</v>
      </c>
      <c r="D541" t="s">
        <v>24</v>
      </c>
      <c r="E541" t="s">
        <v>10</v>
      </c>
      <c r="F541" t="s">
        <v>93</v>
      </c>
      <c r="G541" t="s">
        <v>16</v>
      </c>
    </row>
    <row r="542" spans="1:7" x14ac:dyDescent="0.3">
      <c r="A542" s="1">
        <v>46169</v>
      </c>
      <c r="B542" t="s">
        <v>7</v>
      </c>
      <c r="C542" t="s">
        <v>13</v>
      </c>
      <c r="D542" t="s">
        <v>13</v>
      </c>
      <c r="E542" t="s">
        <v>18</v>
      </c>
      <c r="F542" t="s">
        <v>93</v>
      </c>
      <c r="G542" t="s">
        <v>12</v>
      </c>
    </row>
    <row r="543" spans="1:7" x14ac:dyDescent="0.3">
      <c r="A543" s="1">
        <v>46169</v>
      </c>
      <c r="B543" t="s">
        <v>46</v>
      </c>
      <c r="C543" t="s">
        <v>46</v>
      </c>
      <c r="D543" t="s">
        <v>159</v>
      </c>
      <c r="E543" t="s">
        <v>18</v>
      </c>
      <c r="F543" t="s">
        <v>93</v>
      </c>
      <c r="G543" t="s">
        <v>12</v>
      </c>
    </row>
    <row r="544" spans="1:7" x14ac:dyDescent="0.3">
      <c r="A544" s="1">
        <v>46169</v>
      </c>
      <c r="B544" t="s">
        <v>29</v>
      </c>
      <c r="C544" t="s">
        <v>37</v>
      </c>
      <c r="D544" t="s">
        <v>155</v>
      </c>
      <c r="E544" t="s">
        <v>18</v>
      </c>
      <c r="F544" t="s">
        <v>93</v>
      </c>
      <c r="G544" t="s">
        <v>16</v>
      </c>
    </row>
    <row r="545" spans="1:7" x14ac:dyDescent="0.3">
      <c r="A545" s="1">
        <v>46169</v>
      </c>
      <c r="B545" t="s">
        <v>7</v>
      </c>
      <c r="C545" t="s">
        <v>8</v>
      </c>
      <c r="D545" t="s">
        <v>9</v>
      </c>
      <c r="E545" t="s">
        <v>10</v>
      </c>
      <c r="F545" t="s">
        <v>93</v>
      </c>
      <c r="G545" t="s">
        <v>16</v>
      </c>
    </row>
    <row r="546" spans="1:7" x14ac:dyDescent="0.3">
      <c r="A546" s="1">
        <v>46169</v>
      </c>
      <c r="B546" t="s">
        <v>7</v>
      </c>
      <c r="C546" t="s">
        <v>8</v>
      </c>
      <c r="D546" t="s">
        <v>22</v>
      </c>
      <c r="E546" t="s">
        <v>10</v>
      </c>
      <c r="F546" t="s">
        <v>93</v>
      </c>
      <c r="G546" t="s">
        <v>12</v>
      </c>
    </row>
    <row r="547" spans="1:7" x14ac:dyDescent="0.3">
      <c r="A547" s="1">
        <v>46169</v>
      </c>
      <c r="B547" t="s">
        <v>7</v>
      </c>
      <c r="C547" t="s">
        <v>8</v>
      </c>
      <c r="D547" t="s">
        <v>17</v>
      </c>
      <c r="E547" t="s">
        <v>10</v>
      </c>
      <c r="F547" t="s">
        <v>93</v>
      </c>
      <c r="G547" t="s">
        <v>12</v>
      </c>
    </row>
    <row r="548" spans="1:7" x14ac:dyDescent="0.3">
      <c r="A548" s="1">
        <v>46169</v>
      </c>
      <c r="B548" t="s">
        <v>7</v>
      </c>
      <c r="C548" t="s">
        <v>8</v>
      </c>
      <c r="D548" t="s">
        <v>89</v>
      </c>
      <c r="E548" t="s">
        <v>18</v>
      </c>
      <c r="F548" t="s">
        <v>93</v>
      </c>
      <c r="G548" t="s">
        <v>12</v>
      </c>
    </row>
    <row r="549" spans="1:7" x14ac:dyDescent="0.3">
      <c r="A549" s="1">
        <v>46169</v>
      </c>
      <c r="B549" t="s">
        <v>7</v>
      </c>
      <c r="C549" t="s">
        <v>61</v>
      </c>
      <c r="D549" t="s">
        <v>61</v>
      </c>
      <c r="E549" t="s">
        <v>18</v>
      </c>
      <c r="F549" t="s">
        <v>93</v>
      </c>
      <c r="G549" t="s">
        <v>12</v>
      </c>
    </row>
    <row r="550" spans="1:7" x14ac:dyDescent="0.3">
      <c r="A550" s="1">
        <v>46169</v>
      </c>
      <c r="B550" t="s">
        <v>7</v>
      </c>
      <c r="C550" t="s">
        <v>13</v>
      </c>
      <c r="D550" t="s">
        <v>68</v>
      </c>
      <c r="E550" t="s">
        <v>18</v>
      </c>
      <c r="F550" t="s">
        <v>93</v>
      </c>
      <c r="G550" t="s">
        <v>16</v>
      </c>
    </row>
    <row r="551" spans="1:7" x14ac:dyDescent="0.3">
      <c r="A551" s="1">
        <v>46169</v>
      </c>
      <c r="B551" t="s">
        <v>7</v>
      </c>
      <c r="C551" t="s">
        <v>26</v>
      </c>
      <c r="D551" t="s">
        <v>26</v>
      </c>
      <c r="E551" t="s">
        <v>18</v>
      </c>
      <c r="F551" t="s">
        <v>93</v>
      </c>
      <c r="G551" t="s">
        <v>16</v>
      </c>
    </row>
    <row r="552" spans="1:7" x14ac:dyDescent="0.3">
      <c r="A552" s="1">
        <v>46169</v>
      </c>
      <c r="B552" t="s">
        <v>7</v>
      </c>
      <c r="C552" t="s">
        <v>13</v>
      </c>
      <c r="D552" t="s">
        <v>165</v>
      </c>
      <c r="E552" t="s">
        <v>18</v>
      </c>
      <c r="F552" t="s">
        <v>93</v>
      </c>
      <c r="G552" t="s">
        <v>12</v>
      </c>
    </row>
    <row r="553" spans="1:7" x14ac:dyDescent="0.3">
      <c r="A553" s="1">
        <v>46169</v>
      </c>
      <c r="B553" t="s">
        <v>7</v>
      </c>
      <c r="C553" t="s">
        <v>26</v>
      </c>
      <c r="D553" t="s">
        <v>26</v>
      </c>
      <c r="E553" t="s">
        <v>18</v>
      </c>
      <c r="F553" t="s">
        <v>93</v>
      </c>
      <c r="G553" t="s">
        <v>16</v>
      </c>
    </row>
    <row r="554" spans="1:7" x14ac:dyDescent="0.3">
      <c r="A554" s="1">
        <v>46169</v>
      </c>
      <c r="B554" t="s">
        <v>29</v>
      </c>
      <c r="C554" t="s">
        <v>29</v>
      </c>
      <c r="D554" t="s">
        <v>56</v>
      </c>
      <c r="E554" t="s">
        <v>10</v>
      </c>
      <c r="F554" t="s">
        <v>171</v>
      </c>
      <c r="G554" t="s">
        <v>16</v>
      </c>
    </row>
    <row r="555" spans="1:7" x14ac:dyDescent="0.3">
      <c r="A555" s="1">
        <v>46169</v>
      </c>
      <c r="B555" t="s">
        <v>7</v>
      </c>
      <c r="C555" t="s">
        <v>8</v>
      </c>
      <c r="D555" t="s">
        <v>22</v>
      </c>
      <c r="E555" t="s">
        <v>18</v>
      </c>
      <c r="F555" t="s">
        <v>171</v>
      </c>
      <c r="G555" t="s">
        <v>12</v>
      </c>
    </row>
    <row r="556" spans="1:7" x14ac:dyDescent="0.3">
      <c r="A556" s="1">
        <v>46169</v>
      </c>
      <c r="B556" t="s">
        <v>7</v>
      </c>
      <c r="C556" t="s">
        <v>8</v>
      </c>
      <c r="D556" t="s">
        <v>17</v>
      </c>
      <c r="E556" t="s">
        <v>18</v>
      </c>
      <c r="F556" t="s">
        <v>171</v>
      </c>
      <c r="G556" t="s">
        <v>12</v>
      </c>
    </row>
    <row r="557" spans="1:7" x14ac:dyDescent="0.3">
      <c r="A557" s="1">
        <v>46169</v>
      </c>
      <c r="B557" t="s">
        <v>7</v>
      </c>
      <c r="C557" t="s">
        <v>8</v>
      </c>
      <c r="D557" t="s">
        <v>17</v>
      </c>
      <c r="E557" t="s">
        <v>18</v>
      </c>
      <c r="F557" t="s">
        <v>171</v>
      </c>
      <c r="G557" t="s">
        <v>12</v>
      </c>
    </row>
    <row r="558" spans="1:7" x14ac:dyDescent="0.3">
      <c r="A558" s="1">
        <v>46169</v>
      </c>
      <c r="B558" t="s">
        <v>7</v>
      </c>
      <c r="C558" t="s">
        <v>8</v>
      </c>
      <c r="D558" t="s">
        <v>106</v>
      </c>
      <c r="E558" t="s">
        <v>18</v>
      </c>
      <c r="F558" t="s">
        <v>171</v>
      </c>
      <c r="G558" t="s">
        <v>16</v>
      </c>
    </row>
    <row r="559" spans="1:7" x14ac:dyDescent="0.3">
      <c r="A559" s="1">
        <v>46169</v>
      </c>
      <c r="B559" t="s">
        <v>7</v>
      </c>
      <c r="C559" t="s">
        <v>8</v>
      </c>
      <c r="D559" t="s">
        <v>8</v>
      </c>
      <c r="E559" t="s">
        <v>10</v>
      </c>
      <c r="F559" t="s">
        <v>171</v>
      </c>
      <c r="G559" t="s">
        <v>12</v>
      </c>
    </row>
    <row r="560" spans="1:7" x14ac:dyDescent="0.3">
      <c r="A560" s="1">
        <v>46169</v>
      </c>
      <c r="B560" t="s">
        <v>7</v>
      </c>
      <c r="C560" t="s">
        <v>8</v>
      </c>
      <c r="D560" t="s">
        <v>24</v>
      </c>
      <c r="E560" t="s">
        <v>18</v>
      </c>
      <c r="F560" t="s">
        <v>171</v>
      </c>
      <c r="G560" t="s">
        <v>16</v>
      </c>
    </row>
    <row r="561" spans="1:7" x14ac:dyDescent="0.3">
      <c r="A561" s="1">
        <v>46169</v>
      </c>
      <c r="B561" t="s">
        <v>7</v>
      </c>
      <c r="C561" t="s">
        <v>8</v>
      </c>
      <c r="D561" t="s">
        <v>24</v>
      </c>
      <c r="E561" t="s">
        <v>18</v>
      </c>
      <c r="F561" t="s">
        <v>171</v>
      </c>
      <c r="G561" t="s">
        <v>16</v>
      </c>
    </row>
    <row r="562" spans="1:7" x14ac:dyDescent="0.3">
      <c r="A562" s="1">
        <v>46169</v>
      </c>
      <c r="B562" t="s">
        <v>7</v>
      </c>
      <c r="C562" t="s">
        <v>13</v>
      </c>
      <c r="D562" t="s">
        <v>172</v>
      </c>
      <c r="E562" t="s">
        <v>18</v>
      </c>
      <c r="F562" t="s">
        <v>171</v>
      </c>
      <c r="G562" t="s">
        <v>12</v>
      </c>
    </row>
    <row r="563" spans="1:7" x14ac:dyDescent="0.3">
      <c r="A563" s="1">
        <v>46169</v>
      </c>
      <c r="B563" t="s">
        <v>7</v>
      </c>
      <c r="C563" t="s">
        <v>8</v>
      </c>
      <c r="D563" t="s">
        <v>22</v>
      </c>
      <c r="E563" t="s">
        <v>18</v>
      </c>
      <c r="F563" t="s">
        <v>171</v>
      </c>
      <c r="G563" t="s">
        <v>12</v>
      </c>
    </row>
    <row r="564" spans="1:7" x14ac:dyDescent="0.3">
      <c r="A564" s="1">
        <v>46169</v>
      </c>
      <c r="B564" t="s">
        <v>29</v>
      </c>
      <c r="C564" t="s">
        <v>29</v>
      </c>
      <c r="D564" t="s">
        <v>114</v>
      </c>
      <c r="E564" t="s">
        <v>18</v>
      </c>
      <c r="F564" t="s">
        <v>171</v>
      </c>
      <c r="G564" t="s">
        <v>16</v>
      </c>
    </row>
    <row r="565" spans="1:7" x14ac:dyDescent="0.3">
      <c r="A565" s="1">
        <v>46169</v>
      </c>
      <c r="B565" t="s">
        <v>7</v>
      </c>
      <c r="C565" t="s">
        <v>8</v>
      </c>
      <c r="D565" t="s">
        <v>71</v>
      </c>
      <c r="E565" t="s">
        <v>10</v>
      </c>
      <c r="F565" t="s">
        <v>171</v>
      </c>
      <c r="G565" t="s">
        <v>12</v>
      </c>
    </row>
    <row r="566" spans="1:7" x14ac:dyDescent="0.3">
      <c r="A566" s="1">
        <v>46169</v>
      </c>
      <c r="B566" t="s">
        <v>7</v>
      </c>
      <c r="C566" t="s">
        <v>8</v>
      </c>
      <c r="D566" t="s">
        <v>42</v>
      </c>
      <c r="E566" t="s">
        <v>10</v>
      </c>
      <c r="F566" t="s">
        <v>171</v>
      </c>
      <c r="G566" t="s">
        <v>12</v>
      </c>
    </row>
    <row r="567" spans="1:7" x14ac:dyDescent="0.3">
      <c r="A567" s="1">
        <v>46169</v>
      </c>
      <c r="B567" t="s">
        <v>29</v>
      </c>
      <c r="C567" t="s">
        <v>79</v>
      </c>
      <c r="D567" t="s">
        <v>81</v>
      </c>
      <c r="E567" t="s">
        <v>10</v>
      </c>
      <c r="F567" t="s">
        <v>171</v>
      </c>
      <c r="G567" t="s">
        <v>16</v>
      </c>
    </row>
    <row r="568" spans="1:7" x14ac:dyDescent="0.3">
      <c r="A568" s="1">
        <v>46169</v>
      </c>
      <c r="B568" t="s">
        <v>7</v>
      </c>
      <c r="C568" t="s">
        <v>8</v>
      </c>
      <c r="D568" t="s">
        <v>17</v>
      </c>
      <c r="E568" t="s">
        <v>18</v>
      </c>
      <c r="F568" t="s">
        <v>171</v>
      </c>
      <c r="G568" t="s">
        <v>12</v>
      </c>
    </row>
    <row r="569" spans="1:7" x14ac:dyDescent="0.3">
      <c r="A569" s="1">
        <v>46169</v>
      </c>
      <c r="B569" t="s">
        <v>7</v>
      </c>
      <c r="C569" t="s">
        <v>8</v>
      </c>
      <c r="D569" t="s">
        <v>17</v>
      </c>
      <c r="E569" t="s">
        <v>10</v>
      </c>
      <c r="F569" t="s">
        <v>171</v>
      </c>
      <c r="G569" t="s">
        <v>12</v>
      </c>
    </row>
    <row r="570" spans="1:7" x14ac:dyDescent="0.3">
      <c r="A570" s="1">
        <v>46169</v>
      </c>
      <c r="B570" t="s">
        <v>7</v>
      </c>
      <c r="C570" t="s">
        <v>8</v>
      </c>
      <c r="D570" t="s">
        <v>8</v>
      </c>
      <c r="E570" t="s">
        <v>18</v>
      </c>
      <c r="F570" t="s">
        <v>171</v>
      </c>
      <c r="G570" t="s">
        <v>16</v>
      </c>
    </row>
    <row r="571" spans="1:7" x14ac:dyDescent="0.3">
      <c r="A571" s="1">
        <v>46169</v>
      </c>
      <c r="B571" t="s">
        <v>7</v>
      </c>
      <c r="C571" t="s">
        <v>8</v>
      </c>
      <c r="D571" t="s">
        <v>17</v>
      </c>
      <c r="E571" t="s">
        <v>10</v>
      </c>
      <c r="F571" t="s">
        <v>171</v>
      </c>
      <c r="G571" t="s">
        <v>16</v>
      </c>
    </row>
    <row r="572" spans="1:7" x14ac:dyDescent="0.3">
      <c r="A572" s="1">
        <v>46169</v>
      </c>
      <c r="B572" t="s">
        <v>7</v>
      </c>
      <c r="C572" t="s">
        <v>8</v>
      </c>
      <c r="D572" t="s">
        <v>17</v>
      </c>
      <c r="E572" t="s">
        <v>18</v>
      </c>
      <c r="F572" t="s">
        <v>171</v>
      </c>
      <c r="G572" t="s">
        <v>12</v>
      </c>
    </row>
    <row r="573" spans="1:7" x14ac:dyDescent="0.3">
      <c r="A573" s="1">
        <v>46169</v>
      </c>
      <c r="B573" t="s">
        <v>7</v>
      </c>
      <c r="C573" t="s">
        <v>8</v>
      </c>
      <c r="D573" t="s">
        <v>17</v>
      </c>
      <c r="E573" t="s">
        <v>10</v>
      </c>
      <c r="F573" t="s">
        <v>171</v>
      </c>
      <c r="G573" t="s">
        <v>12</v>
      </c>
    </row>
    <row r="574" spans="1:7" x14ac:dyDescent="0.3">
      <c r="A574" s="1">
        <v>46169</v>
      </c>
      <c r="B574" t="s">
        <v>7</v>
      </c>
      <c r="C574" t="s">
        <v>8</v>
      </c>
      <c r="D574" t="s">
        <v>17</v>
      </c>
      <c r="E574" t="s">
        <v>18</v>
      </c>
      <c r="F574" t="s">
        <v>171</v>
      </c>
      <c r="G574" t="s">
        <v>12</v>
      </c>
    </row>
    <row r="575" spans="1:7" x14ac:dyDescent="0.3">
      <c r="A575" s="1">
        <v>46169</v>
      </c>
      <c r="B575" t="s">
        <v>7</v>
      </c>
      <c r="C575" t="s">
        <v>8</v>
      </c>
      <c r="D575" t="s">
        <v>9</v>
      </c>
      <c r="E575" t="s">
        <v>18</v>
      </c>
      <c r="F575" t="s">
        <v>171</v>
      </c>
      <c r="G575" t="s">
        <v>16</v>
      </c>
    </row>
    <row r="576" spans="1:7" x14ac:dyDescent="0.3">
      <c r="A576" s="1">
        <v>46169</v>
      </c>
      <c r="B576" t="s">
        <v>7</v>
      </c>
      <c r="C576" t="s">
        <v>8</v>
      </c>
      <c r="D576" t="s">
        <v>9</v>
      </c>
      <c r="E576" t="s">
        <v>18</v>
      </c>
      <c r="F576" t="s">
        <v>171</v>
      </c>
      <c r="G576" t="s">
        <v>16</v>
      </c>
    </row>
    <row r="577" spans="1:7" x14ac:dyDescent="0.3">
      <c r="A577" s="1">
        <v>46169</v>
      </c>
      <c r="B577" t="s">
        <v>7</v>
      </c>
      <c r="C577" t="s">
        <v>61</v>
      </c>
      <c r="D577" t="s">
        <v>61</v>
      </c>
      <c r="E577" t="s">
        <v>18</v>
      </c>
      <c r="F577" t="s">
        <v>171</v>
      </c>
      <c r="G577" t="s">
        <v>12</v>
      </c>
    </row>
    <row r="578" spans="1:7" x14ac:dyDescent="0.3">
      <c r="A578" s="1">
        <v>46169</v>
      </c>
      <c r="B578" t="s">
        <v>7</v>
      </c>
      <c r="C578" t="s">
        <v>8</v>
      </c>
      <c r="D578" t="s">
        <v>17</v>
      </c>
      <c r="E578" t="s">
        <v>10</v>
      </c>
      <c r="F578" t="s">
        <v>171</v>
      </c>
      <c r="G578" t="s">
        <v>16</v>
      </c>
    </row>
    <row r="579" spans="1:7" x14ac:dyDescent="0.3">
      <c r="A579" s="1">
        <v>46169</v>
      </c>
      <c r="B579" t="s">
        <v>7</v>
      </c>
      <c r="C579" t="s">
        <v>8</v>
      </c>
      <c r="D579" t="s">
        <v>22</v>
      </c>
      <c r="E579" t="s">
        <v>18</v>
      </c>
      <c r="F579" t="s">
        <v>171</v>
      </c>
      <c r="G579" t="s">
        <v>12</v>
      </c>
    </row>
    <row r="580" spans="1:7" x14ac:dyDescent="0.3">
      <c r="A580" s="1">
        <v>46169</v>
      </c>
      <c r="B580" t="s">
        <v>7</v>
      </c>
      <c r="C580" t="s">
        <v>7</v>
      </c>
      <c r="D580" t="s">
        <v>7</v>
      </c>
      <c r="E580" t="s">
        <v>18</v>
      </c>
      <c r="F580" t="s">
        <v>171</v>
      </c>
      <c r="G580" t="s">
        <v>16</v>
      </c>
    </row>
    <row r="581" spans="1:7" x14ac:dyDescent="0.3">
      <c r="A581" s="1">
        <v>46169</v>
      </c>
      <c r="B581" t="s">
        <v>7</v>
      </c>
      <c r="C581" t="s">
        <v>13</v>
      </c>
      <c r="D581" t="s">
        <v>56</v>
      </c>
      <c r="E581" t="s">
        <v>10</v>
      </c>
      <c r="F581" t="s">
        <v>171</v>
      </c>
      <c r="G581" t="s">
        <v>12</v>
      </c>
    </row>
    <row r="582" spans="1:7" x14ac:dyDescent="0.3">
      <c r="A582" s="1">
        <v>46169</v>
      </c>
      <c r="B582" t="s">
        <v>7</v>
      </c>
      <c r="C582" t="s">
        <v>8</v>
      </c>
      <c r="D582" t="s">
        <v>22</v>
      </c>
      <c r="E582" t="s">
        <v>18</v>
      </c>
      <c r="F582" t="s">
        <v>171</v>
      </c>
      <c r="G582" t="s">
        <v>12</v>
      </c>
    </row>
    <row r="583" spans="1:7" x14ac:dyDescent="0.3">
      <c r="A583" s="1">
        <v>46169</v>
      </c>
      <c r="B583" t="s">
        <v>7</v>
      </c>
      <c r="C583" t="s">
        <v>8</v>
      </c>
      <c r="D583" t="s">
        <v>89</v>
      </c>
      <c r="E583" t="s">
        <v>41</v>
      </c>
      <c r="F583" t="s">
        <v>171</v>
      </c>
      <c r="G583" t="s">
        <v>12</v>
      </c>
    </row>
    <row r="584" spans="1:7" x14ac:dyDescent="0.3">
      <c r="A584" s="1">
        <v>46169</v>
      </c>
      <c r="B584" t="s">
        <v>7</v>
      </c>
      <c r="C584" t="s">
        <v>8</v>
      </c>
      <c r="D584" t="s">
        <v>8</v>
      </c>
      <c r="E584" t="s">
        <v>18</v>
      </c>
      <c r="F584" t="s">
        <v>171</v>
      </c>
      <c r="G584" t="s">
        <v>16</v>
      </c>
    </row>
    <row r="585" spans="1:7" x14ac:dyDescent="0.3">
      <c r="A585" s="1">
        <v>46169</v>
      </c>
      <c r="B585" t="s">
        <v>7</v>
      </c>
      <c r="C585" t="s">
        <v>13</v>
      </c>
      <c r="D585" t="s">
        <v>13</v>
      </c>
      <c r="E585" t="s">
        <v>10</v>
      </c>
      <c r="F585" t="s">
        <v>171</v>
      </c>
      <c r="G585" t="s">
        <v>12</v>
      </c>
    </row>
    <row r="586" spans="1:7" x14ac:dyDescent="0.3">
      <c r="A586" s="1">
        <v>46169</v>
      </c>
      <c r="B586" t="s">
        <v>7</v>
      </c>
      <c r="C586" t="s">
        <v>8</v>
      </c>
      <c r="D586" t="s">
        <v>17</v>
      </c>
      <c r="E586" t="s">
        <v>18</v>
      </c>
      <c r="F586" t="s">
        <v>171</v>
      </c>
      <c r="G586" t="s">
        <v>12</v>
      </c>
    </row>
    <row r="587" spans="1:7" x14ac:dyDescent="0.3">
      <c r="A587" s="1">
        <v>46169</v>
      </c>
      <c r="B587" t="s">
        <v>7</v>
      </c>
      <c r="C587" t="s">
        <v>8</v>
      </c>
      <c r="D587" t="s">
        <v>23</v>
      </c>
      <c r="E587" t="s">
        <v>18</v>
      </c>
      <c r="F587" t="s">
        <v>171</v>
      </c>
      <c r="G587" t="s">
        <v>12</v>
      </c>
    </row>
    <row r="588" spans="1:7" x14ac:dyDescent="0.3">
      <c r="A588" s="1">
        <v>46169</v>
      </c>
      <c r="B588" t="s">
        <v>7</v>
      </c>
      <c r="C588" t="s">
        <v>8</v>
      </c>
      <c r="D588" t="s">
        <v>17</v>
      </c>
      <c r="E588" t="s">
        <v>18</v>
      </c>
      <c r="F588" t="s">
        <v>171</v>
      </c>
      <c r="G588" t="s">
        <v>12</v>
      </c>
    </row>
    <row r="589" spans="1:7" x14ac:dyDescent="0.3">
      <c r="A589" s="1">
        <v>46169</v>
      </c>
      <c r="B589" t="s">
        <v>29</v>
      </c>
      <c r="C589" t="s">
        <v>29</v>
      </c>
      <c r="D589" t="s">
        <v>173</v>
      </c>
      <c r="E589" t="s">
        <v>10</v>
      </c>
      <c r="F589" t="s">
        <v>174</v>
      </c>
      <c r="G589" t="s">
        <v>12</v>
      </c>
    </row>
    <row r="590" spans="1:7" x14ac:dyDescent="0.3">
      <c r="A590" s="1">
        <v>46169</v>
      </c>
      <c r="B590" t="s">
        <v>7</v>
      </c>
      <c r="C590" t="s">
        <v>8</v>
      </c>
      <c r="D590" t="s">
        <v>71</v>
      </c>
      <c r="E590" t="s">
        <v>18</v>
      </c>
      <c r="F590" t="s">
        <v>174</v>
      </c>
      <c r="G590" t="s">
        <v>12</v>
      </c>
    </row>
    <row r="591" spans="1:7" x14ac:dyDescent="0.3">
      <c r="A591" s="1">
        <v>46169</v>
      </c>
      <c r="B591" t="s">
        <v>7</v>
      </c>
      <c r="C591" t="s">
        <v>8</v>
      </c>
      <c r="D591" t="s">
        <v>22</v>
      </c>
      <c r="E591" t="s">
        <v>18</v>
      </c>
      <c r="F591" t="s">
        <v>174</v>
      </c>
      <c r="G591" t="s">
        <v>12</v>
      </c>
    </row>
    <row r="592" spans="1:7" x14ac:dyDescent="0.3">
      <c r="A592" s="1">
        <v>46169</v>
      </c>
      <c r="B592" t="s">
        <v>7</v>
      </c>
      <c r="C592" t="s">
        <v>8</v>
      </c>
      <c r="D592" t="s">
        <v>17</v>
      </c>
      <c r="E592" t="s">
        <v>18</v>
      </c>
      <c r="F592" t="s">
        <v>174</v>
      </c>
      <c r="G592" t="s">
        <v>12</v>
      </c>
    </row>
    <row r="593" spans="1:7" x14ac:dyDescent="0.3">
      <c r="A593" s="1">
        <v>46169</v>
      </c>
      <c r="B593" t="s">
        <v>7</v>
      </c>
      <c r="C593" t="s">
        <v>8</v>
      </c>
      <c r="D593" t="s">
        <v>17</v>
      </c>
      <c r="E593" t="s">
        <v>18</v>
      </c>
      <c r="F593" t="s">
        <v>174</v>
      </c>
      <c r="G593" t="s">
        <v>12</v>
      </c>
    </row>
    <row r="594" spans="1:7" x14ac:dyDescent="0.3">
      <c r="A594" s="1">
        <v>46169</v>
      </c>
      <c r="B594" t="s">
        <v>29</v>
      </c>
      <c r="C594" t="s">
        <v>79</v>
      </c>
      <c r="D594" t="s">
        <v>175</v>
      </c>
      <c r="E594" t="s">
        <v>18</v>
      </c>
      <c r="F594" t="s">
        <v>174</v>
      </c>
      <c r="G594" t="s">
        <v>12</v>
      </c>
    </row>
    <row r="595" spans="1:7" x14ac:dyDescent="0.3">
      <c r="A595" s="1">
        <v>46169</v>
      </c>
      <c r="B595" t="s">
        <v>7</v>
      </c>
      <c r="C595" t="s">
        <v>8</v>
      </c>
      <c r="D595" t="s">
        <v>89</v>
      </c>
      <c r="E595" t="s">
        <v>18</v>
      </c>
      <c r="F595" t="s">
        <v>174</v>
      </c>
      <c r="G595" t="s">
        <v>16</v>
      </c>
    </row>
    <row r="596" spans="1:7" x14ac:dyDescent="0.3">
      <c r="A596" s="1">
        <v>46169</v>
      </c>
      <c r="B596" t="s">
        <v>7</v>
      </c>
      <c r="C596" t="s">
        <v>26</v>
      </c>
      <c r="D596" t="s">
        <v>176</v>
      </c>
      <c r="E596" t="s">
        <v>10</v>
      </c>
      <c r="F596" t="s">
        <v>174</v>
      </c>
      <c r="G596" t="s">
        <v>16</v>
      </c>
    </row>
    <row r="597" spans="1:7" x14ac:dyDescent="0.3">
      <c r="A597" s="1">
        <v>46169</v>
      </c>
      <c r="B597" t="s">
        <v>7</v>
      </c>
      <c r="C597" t="s">
        <v>8</v>
      </c>
      <c r="D597" t="s">
        <v>22</v>
      </c>
      <c r="E597" t="s">
        <v>18</v>
      </c>
      <c r="F597" t="s">
        <v>174</v>
      </c>
      <c r="G597" t="s">
        <v>12</v>
      </c>
    </row>
    <row r="598" spans="1:7" x14ac:dyDescent="0.3">
      <c r="A598" s="1">
        <v>46169</v>
      </c>
      <c r="B598" t="s">
        <v>7</v>
      </c>
      <c r="C598" t="s">
        <v>8</v>
      </c>
      <c r="D598" t="s">
        <v>17</v>
      </c>
      <c r="E598" t="s">
        <v>10</v>
      </c>
      <c r="F598" t="s">
        <v>174</v>
      </c>
      <c r="G598" t="s">
        <v>16</v>
      </c>
    </row>
    <row r="599" spans="1:7" x14ac:dyDescent="0.3">
      <c r="A599" s="1">
        <v>46169</v>
      </c>
      <c r="B599" t="s">
        <v>7</v>
      </c>
      <c r="C599" t="s">
        <v>8</v>
      </c>
      <c r="D599" t="s">
        <v>22</v>
      </c>
      <c r="E599" t="s">
        <v>18</v>
      </c>
      <c r="F599" t="s">
        <v>174</v>
      </c>
      <c r="G599" t="s">
        <v>16</v>
      </c>
    </row>
    <row r="600" spans="1:7" x14ac:dyDescent="0.3">
      <c r="A600" s="1">
        <v>46169</v>
      </c>
      <c r="B600" t="s">
        <v>7</v>
      </c>
      <c r="C600" t="s">
        <v>8</v>
      </c>
      <c r="D600" t="s">
        <v>8</v>
      </c>
      <c r="E600" t="s">
        <v>18</v>
      </c>
      <c r="F600" t="s">
        <v>174</v>
      </c>
      <c r="G600" t="s">
        <v>16</v>
      </c>
    </row>
    <row r="601" spans="1:7" x14ac:dyDescent="0.3">
      <c r="A601" s="1">
        <v>46169</v>
      </c>
      <c r="B601" t="s">
        <v>7</v>
      </c>
      <c r="C601" t="s">
        <v>8</v>
      </c>
      <c r="D601" t="s">
        <v>22</v>
      </c>
      <c r="E601" t="s">
        <v>18</v>
      </c>
      <c r="F601" t="s">
        <v>174</v>
      </c>
      <c r="G601" t="s">
        <v>12</v>
      </c>
    </row>
    <row r="602" spans="1:7" x14ac:dyDescent="0.3">
      <c r="A602" s="1">
        <v>46169</v>
      </c>
      <c r="B602" t="s">
        <v>7</v>
      </c>
      <c r="C602" t="s">
        <v>8</v>
      </c>
      <c r="D602" t="s">
        <v>25</v>
      </c>
      <c r="E602" t="s">
        <v>18</v>
      </c>
      <c r="F602" t="s">
        <v>174</v>
      </c>
      <c r="G602" t="s">
        <v>16</v>
      </c>
    </row>
    <row r="603" spans="1:7" x14ac:dyDescent="0.3">
      <c r="A603" s="1">
        <v>46169</v>
      </c>
      <c r="B603" t="s">
        <v>46</v>
      </c>
      <c r="C603" t="s">
        <v>46</v>
      </c>
      <c r="D603" t="s">
        <v>110</v>
      </c>
      <c r="E603" t="s">
        <v>10</v>
      </c>
      <c r="F603" t="s">
        <v>174</v>
      </c>
      <c r="G603" t="s">
        <v>12</v>
      </c>
    </row>
    <row r="604" spans="1:7" x14ac:dyDescent="0.3">
      <c r="A604" s="1">
        <v>46169</v>
      </c>
      <c r="B604" t="s">
        <v>7</v>
      </c>
      <c r="C604" t="s">
        <v>8</v>
      </c>
      <c r="D604" t="s">
        <v>17</v>
      </c>
      <c r="E604" t="s">
        <v>18</v>
      </c>
      <c r="F604" t="s">
        <v>174</v>
      </c>
      <c r="G604" t="s">
        <v>16</v>
      </c>
    </row>
    <row r="605" spans="1:7" x14ac:dyDescent="0.3">
      <c r="A605" s="1">
        <v>46169</v>
      </c>
      <c r="B605" t="s">
        <v>7</v>
      </c>
      <c r="C605" t="s">
        <v>8</v>
      </c>
      <c r="D605" t="s">
        <v>8</v>
      </c>
      <c r="E605" t="s">
        <v>10</v>
      </c>
      <c r="F605" t="s">
        <v>174</v>
      </c>
      <c r="G605" t="s">
        <v>12</v>
      </c>
    </row>
    <row r="606" spans="1:7" x14ac:dyDescent="0.3">
      <c r="A606" s="1">
        <v>46169</v>
      </c>
      <c r="B606" t="s">
        <v>7</v>
      </c>
      <c r="C606" t="s">
        <v>48</v>
      </c>
      <c r="D606" t="s">
        <v>112</v>
      </c>
      <c r="E606" t="s">
        <v>18</v>
      </c>
      <c r="F606" t="s">
        <v>174</v>
      </c>
      <c r="G606" t="s">
        <v>12</v>
      </c>
    </row>
    <row r="607" spans="1:7" x14ac:dyDescent="0.3">
      <c r="A607" s="1">
        <v>46169</v>
      </c>
      <c r="B607" t="s">
        <v>7</v>
      </c>
      <c r="C607" t="s">
        <v>8</v>
      </c>
      <c r="D607" t="s">
        <v>22</v>
      </c>
      <c r="E607" t="s">
        <v>18</v>
      </c>
      <c r="F607" t="s">
        <v>174</v>
      </c>
      <c r="G607" t="s">
        <v>16</v>
      </c>
    </row>
    <row r="608" spans="1:7" x14ac:dyDescent="0.3">
      <c r="A608" s="1">
        <v>46169</v>
      </c>
      <c r="B608" t="s">
        <v>7</v>
      </c>
      <c r="C608" t="s">
        <v>13</v>
      </c>
      <c r="D608" t="s">
        <v>14</v>
      </c>
      <c r="E608" t="s">
        <v>18</v>
      </c>
      <c r="F608" t="s">
        <v>174</v>
      </c>
      <c r="G608" t="s">
        <v>16</v>
      </c>
    </row>
    <row r="609" spans="1:7" x14ac:dyDescent="0.3">
      <c r="A609" s="1">
        <v>46169</v>
      </c>
      <c r="B609" t="s">
        <v>7</v>
      </c>
      <c r="C609" t="s">
        <v>19</v>
      </c>
      <c r="D609" t="s">
        <v>138</v>
      </c>
      <c r="E609" t="s">
        <v>41</v>
      </c>
      <c r="F609" t="s">
        <v>174</v>
      </c>
      <c r="G609" t="s">
        <v>16</v>
      </c>
    </row>
    <row r="610" spans="1:7" x14ac:dyDescent="0.3">
      <c r="A610" s="1">
        <v>46169</v>
      </c>
      <c r="B610" t="s">
        <v>7</v>
      </c>
      <c r="C610" t="s">
        <v>8</v>
      </c>
      <c r="D610" t="s">
        <v>106</v>
      </c>
      <c r="E610" t="s">
        <v>18</v>
      </c>
      <c r="F610" t="s">
        <v>174</v>
      </c>
      <c r="G610" t="s">
        <v>12</v>
      </c>
    </row>
    <row r="611" spans="1:7" x14ac:dyDescent="0.3">
      <c r="A611" s="1">
        <v>46169</v>
      </c>
      <c r="B611" t="s">
        <v>7</v>
      </c>
      <c r="C611" t="s">
        <v>8</v>
      </c>
      <c r="D611" t="s">
        <v>17</v>
      </c>
      <c r="E611" t="s">
        <v>18</v>
      </c>
      <c r="F611" t="s">
        <v>174</v>
      </c>
      <c r="G611" t="s">
        <v>12</v>
      </c>
    </row>
    <row r="612" spans="1:7" x14ac:dyDescent="0.3">
      <c r="A612" s="1">
        <v>46169</v>
      </c>
      <c r="B612" t="s">
        <v>7</v>
      </c>
      <c r="C612" t="s">
        <v>8</v>
      </c>
      <c r="D612" t="s">
        <v>22</v>
      </c>
      <c r="E612" t="s">
        <v>18</v>
      </c>
      <c r="F612" t="s">
        <v>174</v>
      </c>
      <c r="G612" t="s">
        <v>12</v>
      </c>
    </row>
    <row r="613" spans="1:7" x14ac:dyDescent="0.3">
      <c r="A613" s="1">
        <v>46169</v>
      </c>
      <c r="B613" t="s">
        <v>7</v>
      </c>
      <c r="C613" t="s">
        <v>8</v>
      </c>
      <c r="D613" t="s">
        <v>22</v>
      </c>
      <c r="E613" t="s">
        <v>10</v>
      </c>
      <c r="F613" t="s">
        <v>174</v>
      </c>
      <c r="G613" t="s">
        <v>12</v>
      </c>
    </row>
    <row r="614" spans="1:7" x14ac:dyDescent="0.3">
      <c r="A614" s="1">
        <v>46169</v>
      </c>
      <c r="B614" t="s">
        <v>7</v>
      </c>
      <c r="C614" t="s">
        <v>8</v>
      </c>
      <c r="D614" t="s">
        <v>8</v>
      </c>
      <c r="E614" t="s">
        <v>10</v>
      </c>
      <c r="F614" t="s">
        <v>174</v>
      </c>
      <c r="G614" t="s">
        <v>12</v>
      </c>
    </row>
    <row r="615" spans="1:7" x14ac:dyDescent="0.3">
      <c r="A615" s="1">
        <v>46169</v>
      </c>
      <c r="B615" t="s">
        <v>7</v>
      </c>
      <c r="C615" t="s">
        <v>8</v>
      </c>
      <c r="D615" t="s">
        <v>17</v>
      </c>
      <c r="E615" t="s">
        <v>18</v>
      </c>
      <c r="F615" t="s">
        <v>174</v>
      </c>
      <c r="G615" t="s">
        <v>12</v>
      </c>
    </row>
    <row r="616" spans="1:7" x14ac:dyDescent="0.3">
      <c r="A616" s="1">
        <v>46169</v>
      </c>
      <c r="B616" t="s">
        <v>29</v>
      </c>
      <c r="C616" t="s">
        <v>177</v>
      </c>
      <c r="D616" t="s">
        <v>178</v>
      </c>
      <c r="E616" t="s">
        <v>18</v>
      </c>
      <c r="F616" t="s">
        <v>174</v>
      </c>
      <c r="G616" t="s">
        <v>16</v>
      </c>
    </row>
    <row r="617" spans="1:7" x14ac:dyDescent="0.3">
      <c r="A617" s="1">
        <v>46169</v>
      </c>
      <c r="B617" t="s">
        <v>7</v>
      </c>
      <c r="C617" t="s">
        <v>19</v>
      </c>
      <c r="D617" t="s">
        <v>151</v>
      </c>
      <c r="E617" t="s">
        <v>41</v>
      </c>
      <c r="F617" t="s">
        <v>174</v>
      </c>
      <c r="G617" t="s">
        <v>16</v>
      </c>
    </row>
    <row r="618" spans="1:7" x14ac:dyDescent="0.3">
      <c r="A618" s="1">
        <v>46169</v>
      </c>
      <c r="B618" t="s">
        <v>7</v>
      </c>
      <c r="C618" t="s">
        <v>13</v>
      </c>
      <c r="D618" t="s">
        <v>165</v>
      </c>
      <c r="E618" t="s">
        <v>10</v>
      </c>
      <c r="F618" t="s">
        <v>174</v>
      </c>
      <c r="G618" t="s">
        <v>12</v>
      </c>
    </row>
    <row r="619" spans="1:7" x14ac:dyDescent="0.3">
      <c r="A619" s="1">
        <v>46169</v>
      </c>
      <c r="B619" t="s">
        <v>7</v>
      </c>
      <c r="C619" t="s">
        <v>8</v>
      </c>
      <c r="D619" t="s">
        <v>17</v>
      </c>
      <c r="E619" t="s">
        <v>18</v>
      </c>
      <c r="F619" t="s">
        <v>174</v>
      </c>
      <c r="G619" t="s">
        <v>12</v>
      </c>
    </row>
    <row r="620" spans="1:7" x14ac:dyDescent="0.3">
      <c r="A620" s="1">
        <v>46169</v>
      </c>
      <c r="B620" t="s">
        <v>7</v>
      </c>
      <c r="C620" t="s">
        <v>8</v>
      </c>
      <c r="D620" t="s">
        <v>24</v>
      </c>
      <c r="E620" t="s">
        <v>18</v>
      </c>
      <c r="F620" t="s">
        <v>174</v>
      </c>
      <c r="G620" t="s">
        <v>16</v>
      </c>
    </row>
    <row r="621" spans="1:7" x14ac:dyDescent="0.3">
      <c r="A621" s="1">
        <v>46169</v>
      </c>
      <c r="B621" t="s">
        <v>7</v>
      </c>
      <c r="C621" t="s">
        <v>8</v>
      </c>
      <c r="D621" t="s">
        <v>17</v>
      </c>
      <c r="E621" t="s">
        <v>18</v>
      </c>
      <c r="F621" t="s">
        <v>174</v>
      </c>
      <c r="G621" t="s">
        <v>16</v>
      </c>
    </row>
    <row r="622" spans="1:7" x14ac:dyDescent="0.3">
      <c r="A622" s="1">
        <v>46169</v>
      </c>
      <c r="B622" t="s">
        <v>7</v>
      </c>
      <c r="C622" t="s">
        <v>19</v>
      </c>
      <c r="D622" t="s">
        <v>19</v>
      </c>
      <c r="E622" t="s">
        <v>18</v>
      </c>
      <c r="F622" t="s">
        <v>174</v>
      </c>
      <c r="G622" t="s">
        <v>16</v>
      </c>
    </row>
    <row r="623" spans="1:7" x14ac:dyDescent="0.3">
      <c r="A623" s="1">
        <v>46169</v>
      </c>
      <c r="B623" t="s">
        <v>7</v>
      </c>
      <c r="C623" t="s">
        <v>8</v>
      </c>
      <c r="D623" t="s">
        <v>89</v>
      </c>
      <c r="E623" t="s">
        <v>18</v>
      </c>
      <c r="F623" t="s">
        <v>179</v>
      </c>
      <c r="G623" t="s">
        <v>12</v>
      </c>
    </row>
    <row r="624" spans="1:7" x14ac:dyDescent="0.3">
      <c r="A624" s="1">
        <v>46169</v>
      </c>
      <c r="B624" t="s">
        <v>7</v>
      </c>
      <c r="C624" t="s">
        <v>8</v>
      </c>
      <c r="D624" t="s">
        <v>89</v>
      </c>
      <c r="E624" t="s">
        <v>180</v>
      </c>
      <c r="F624" t="s">
        <v>179</v>
      </c>
      <c r="G624" t="s">
        <v>12</v>
      </c>
    </row>
    <row r="625" spans="1:7" x14ac:dyDescent="0.3">
      <c r="A625" s="1">
        <v>46169</v>
      </c>
      <c r="B625" t="s">
        <v>7</v>
      </c>
      <c r="C625" t="s">
        <v>8</v>
      </c>
      <c r="D625" t="s">
        <v>22</v>
      </c>
      <c r="E625" t="s">
        <v>10</v>
      </c>
      <c r="F625" t="s">
        <v>179</v>
      </c>
      <c r="G625" t="s">
        <v>12</v>
      </c>
    </row>
    <row r="626" spans="1:7" x14ac:dyDescent="0.3">
      <c r="A626" s="1">
        <v>46169</v>
      </c>
      <c r="B626" t="s">
        <v>7</v>
      </c>
      <c r="C626" t="s">
        <v>8</v>
      </c>
      <c r="D626" t="s">
        <v>8</v>
      </c>
      <c r="E626" t="s">
        <v>18</v>
      </c>
      <c r="F626" t="s">
        <v>179</v>
      </c>
      <c r="G626" t="s">
        <v>16</v>
      </c>
    </row>
    <row r="627" spans="1:7" x14ac:dyDescent="0.3">
      <c r="A627" s="1">
        <v>46169</v>
      </c>
      <c r="B627" t="s">
        <v>73</v>
      </c>
      <c r="C627" t="s">
        <v>181</v>
      </c>
      <c r="D627" t="s">
        <v>182</v>
      </c>
      <c r="E627" t="s">
        <v>10</v>
      </c>
      <c r="F627" t="s">
        <v>179</v>
      </c>
      <c r="G627" t="s">
        <v>12</v>
      </c>
    </row>
    <row r="628" spans="1:7" x14ac:dyDescent="0.3">
      <c r="A628" s="1">
        <v>46169</v>
      </c>
      <c r="B628" t="s">
        <v>7</v>
      </c>
      <c r="C628" t="s">
        <v>8</v>
      </c>
      <c r="D628" t="s">
        <v>8</v>
      </c>
      <c r="E628" t="s">
        <v>18</v>
      </c>
      <c r="F628" t="s">
        <v>179</v>
      </c>
      <c r="G628" t="s">
        <v>12</v>
      </c>
    </row>
    <row r="629" spans="1:7" x14ac:dyDescent="0.3">
      <c r="A629" s="1">
        <v>46169</v>
      </c>
      <c r="B629" t="s">
        <v>7</v>
      </c>
      <c r="C629" t="s">
        <v>8</v>
      </c>
      <c r="D629" t="s">
        <v>22</v>
      </c>
      <c r="E629" t="s">
        <v>43</v>
      </c>
      <c r="F629" t="s">
        <v>179</v>
      </c>
      <c r="G629" t="s">
        <v>12</v>
      </c>
    </row>
    <row r="630" spans="1:7" x14ac:dyDescent="0.3">
      <c r="A630" s="1">
        <v>46169</v>
      </c>
      <c r="B630" t="s">
        <v>7</v>
      </c>
      <c r="C630" t="s">
        <v>8</v>
      </c>
      <c r="D630" t="s">
        <v>8</v>
      </c>
      <c r="E630" t="s">
        <v>18</v>
      </c>
      <c r="F630" t="s">
        <v>179</v>
      </c>
      <c r="G630" t="s">
        <v>12</v>
      </c>
    </row>
    <row r="631" spans="1:7" x14ac:dyDescent="0.3">
      <c r="A631" s="1">
        <v>46169</v>
      </c>
      <c r="B631" t="s">
        <v>7</v>
      </c>
      <c r="C631" t="s">
        <v>8</v>
      </c>
      <c r="D631" t="s">
        <v>22</v>
      </c>
      <c r="E631" t="s">
        <v>18</v>
      </c>
      <c r="F631" t="s">
        <v>179</v>
      </c>
      <c r="G631" t="s">
        <v>12</v>
      </c>
    </row>
    <row r="632" spans="1:7" x14ac:dyDescent="0.3">
      <c r="A632" s="1">
        <v>46169</v>
      </c>
      <c r="B632" t="s">
        <v>7</v>
      </c>
      <c r="C632" t="s">
        <v>8</v>
      </c>
      <c r="D632" t="s">
        <v>8</v>
      </c>
      <c r="E632" t="s">
        <v>18</v>
      </c>
      <c r="F632" t="s">
        <v>179</v>
      </c>
      <c r="G632" t="s">
        <v>16</v>
      </c>
    </row>
    <row r="633" spans="1:7" x14ac:dyDescent="0.3">
      <c r="A633" s="1">
        <v>46169</v>
      </c>
      <c r="B633" t="s">
        <v>7</v>
      </c>
      <c r="C633" t="s">
        <v>8</v>
      </c>
      <c r="D633" t="s">
        <v>24</v>
      </c>
      <c r="E633" t="s">
        <v>18</v>
      </c>
      <c r="F633" t="s">
        <v>179</v>
      </c>
      <c r="G633" t="s">
        <v>12</v>
      </c>
    </row>
    <row r="634" spans="1:7" x14ac:dyDescent="0.3">
      <c r="A634" s="1">
        <v>46169</v>
      </c>
      <c r="B634" t="s">
        <v>7</v>
      </c>
      <c r="C634" t="s">
        <v>13</v>
      </c>
      <c r="D634" t="s">
        <v>82</v>
      </c>
      <c r="E634" t="s">
        <v>18</v>
      </c>
      <c r="F634" t="s">
        <v>179</v>
      </c>
      <c r="G634" t="s">
        <v>16</v>
      </c>
    </row>
    <row r="635" spans="1:7" x14ac:dyDescent="0.3">
      <c r="A635" s="1">
        <v>46169</v>
      </c>
      <c r="B635" t="s">
        <v>7</v>
      </c>
      <c r="C635" t="s">
        <v>8</v>
      </c>
      <c r="D635" t="s">
        <v>17</v>
      </c>
      <c r="E635" t="s">
        <v>18</v>
      </c>
      <c r="F635" t="s">
        <v>179</v>
      </c>
      <c r="G635" t="s">
        <v>12</v>
      </c>
    </row>
    <row r="636" spans="1:7" x14ac:dyDescent="0.3">
      <c r="A636" s="1">
        <v>46169</v>
      </c>
      <c r="B636" t="s">
        <v>7</v>
      </c>
      <c r="C636" t="s">
        <v>19</v>
      </c>
      <c r="D636" t="s">
        <v>19</v>
      </c>
      <c r="E636" t="s">
        <v>10</v>
      </c>
      <c r="F636" t="s">
        <v>179</v>
      </c>
      <c r="G636" t="s">
        <v>16</v>
      </c>
    </row>
    <row r="637" spans="1:7" x14ac:dyDescent="0.3">
      <c r="A637" s="1">
        <v>46169</v>
      </c>
      <c r="B637" t="s">
        <v>7</v>
      </c>
      <c r="C637" t="s">
        <v>8</v>
      </c>
      <c r="D637" t="s">
        <v>8</v>
      </c>
      <c r="E637" t="s">
        <v>18</v>
      </c>
      <c r="F637" t="s">
        <v>179</v>
      </c>
      <c r="G637" t="s">
        <v>12</v>
      </c>
    </row>
    <row r="638" spans="1:7" x14ac:dyDescent="0.3">
      <c r="A638" s="1">
        <v>46169</v>
      </c>
      <c r="B638" t="s">
        <v>7</v>
      </c>
      <c r="C638" t="s">
        <v>8</v>
      </c>
      <c r="D638" t="s">
        <v>8</v>
      </c>
      <c r="E638" t="s">
        <v>18</v>
      </c>
      <c r="F638" t="s">
        <v>179</v>
      </c>
      <c r="G638" t="s">
        <v>16</v>
      </c>
    </row>
    <row r="639" spans="1:7" x14ac:dyDescent="0.3">
      <c r="A639" s="1">
        <v>46169</v>
      </c>
      <c r="B639" t="s">
        <v>7</v>
      </c>
      <c r="C639" t="s">
        <v>26</v>
      </c>
      <c r="D639" t="s">
        <v>170</v>
      </c>
      <c r="E639" t="s">
        <v>18</v>
      </c>
      <c r="F639" t="s">
        <v>179</v>
      </c>
      <c r="G639" t="s">
        <v>12</v>
      </c>
    </row>
    <row r="640" spans="1:7" x14ac:dyDescent="0.3">
      <c r="A640" s="1">
        <v>46169</v>
      </c>
      <c r="B640" t="s">
        <v>7</v>
      </c>
      <c r="C640" t="s">
        <v>8</v>
      </c>
      <c r="D640" t="s">
        <v>17</v>
      </c>
      <c r="E640" t="s">
        <v>18</v>
      </c>
      <c r="F640" t="s">
        <v>179</v>
      </c>
      <c r="G640" t="s">
        <v>12</v>
      </c>
    </row>
    <row r="641" spans="1:7" x14ac:dyDescent="0.3">
      <c r="A641" s="1">
        <v>46169</v>
      </c>
      <c r="B641" t="s">
        <v>7</v>
      </c>
      <c r="C641" t="s">
        <v>8</v>
      </c>
      <c r="D641" t="s">
        <v>17</v>
      </c>
      <c r="E641" t="s">
        <v>18</v>
      </c>
      <c r="F641" t="s">
        <v>183</v>
      </c>
      <c r="G641" t="s">
        <v>16</v>
      </c>
    </row>
    <row r="642" spans="1:7" x14ac:dyDescent="0.3">
      <c r="A642" s="1">
        <v>46169</v>
      </c>
      <c r="B642" t="s">
        <v>7</v>
      </c>
      <c r="C642" t="s">
        <v>8</v>
      </c>
      <c r="D642" t="s">
        <v>22</v>
      </c>
      <c r="E642" t="s">
        <v>10</v>
      </c>
      <c r="F642" t="s">
        <v>183</v>
      </c>
      <c r="G642" t="s">
        <v>16</v>
      </c>
    </row>
    <row r="643" spans="1:7" x14ac:dyDescent="0.3">
      <c r="A643" s="1">
        <v>46169</v>
      </c>
      <c r="B643" t="s">
        <v>7</v>
      </c>
      <c r="C643" t="s">
        <v>8</v>
      </c>
      <c r="D643" t="s">
        <v>89</v>
      </c>
      <c r="E643" t="s">
        <v>10</v>
      </c>
      <c r="F643" t="s">
        <v>183</v>
      </c>
      <c r="G643" t="s">
        <v>12</v>
      </c>
    </row>
    <row r="644" spans="1:7" x14ac:dyDescent="0.3">
      <c r="A644" s="1">
        <v>46169</v>
      </c>
      <c r="B644" t="s">
        <v>7</v>
      </c>
      <c r="C644" t="s">
        <v>61</v>
      </c>
      <c r="D644" t="s">
        <v>61</v>
      </c>
      <c r="E644" t="s">
        <v>18</v>
      </c>
      <c r="F644" t="s">
        <v>183</v>
      </c>
      <c r="G644" t="s">
        <v>16</v>
      </c>
    </row>
    <row r="645" spans="1:7" x14ac:dyDescent="0.3">
      <c r="A645" s="1">
        <v>46169</v>
      </c>
      <c r="B645" t="s">
        <v>7</v>
      </c>
      <c r="C645" t="s">
        <v>62</v>
      </c>
      <c r="D645" t="s">
        <v>145</v>
      </c>
      <c r="E645" t="s">
        <v>18</v>
      </c>
      <c r="F645" t="s">
        <v>183</v>
      </c>
      <c r="G645" t="s">
        <v>12</v>
      </c>
    </row>
    <row r="646" spans="1:7" x14ac:dyDescent="0.3">
      <c r="A646" s="1">
        <v>46169</v>
      </c>
      <c r="B646" t="s">
        <v>7</v>
      </c>
      <c r="C646" t="s">
        <v>8</v>
      </c>
      <c r="D646" t="s">
        <v>8</v>
      </c>
      <c r="E646" t="s">
        <v>18</v>
      </c>
      <c r="F646" t="s">
        <v>183</v>
      </c>
      <c r="G646" t="s">
        <v>12</v>
      </c>
    </row>
    <row r="647" spans="1:7" x14ac:dyDescent="0.3">
      <c r="A647" s="1">
        <v>46169</v>
      </c>
      <c r="B647" t="s">
        <v>29</v>
      </c>
      <c r="C647" t="s">
        <v>37</v>
      </c>
      <c r="D647" t="s">
        <v>76</v>
      </c>
      <c r="E647" t="s">
        <v>18</v>
      </c>
      <c r="F647" t="s">
        <v>183</v>
      </c>
      <c r="G647" t="s">
        <v>12</v>
      </c>
    </row>
    <row r="648" spans="1:7" x14ac:dyDescent="0.3">
      <c r="A648" s="1">
        <v>46169</v>
      </c>
      <c r="B648" t="s">
        <v>7</v>
      </c>
      <c r="C648" t="s">
        <v>8</v>
      </c>
      <c r="D648" t="s">
        <v>8</v>
      </c>
      <c r="E648" t="s">
        <v>18</v>
      </c>
      <c r="F648" t="s">
        <v>183</v>
      </c>
      <c r="G648" t="s">
        <v>16</v>
      </c>
    </row>
    <row r="649" spans="1:7" x14ac:dyDescent="0.3">
      <c r="A649" s="1">
        <v>46169</v>
      </c>
      <c r="B649" t="s">
        <v>7</v>
      </c>
      <c r="C649" t="s">
        <v>8</v>
      </c>
      <c r="D649" t="s">
        <v>17</v>
      </c>
      <c r="E649" t="s">
        <v>18</v>
      </c>
      <c r="F649" t="s">
        <v>183</v>
      </c>
      <c r="G649" t="s">
        <v>12</v>
      </c>
    </row>
    <row r="650" spans="1:7" x14ac:dyDescent="0.3">
      <c r="A650" s="1">
        <v>46169</v>
      </c>
      <c r="B650" t="s">
        <v>7</v>
      </c>
      <c r="C650" t="s">
        <v>8</v>
      </c>
      <c r="D650" t="s">
        <v>17</v>
      </c>
      <c r="E650" t="s">
        <v>18</v>
      </c>
      <c r="F650" t="s">
        <v>183</v>
      </c>
      <c r="G650" t="s">
        <v>12</v>
      </c>
    </row>
    <row r="651" spans="1:7" x14ac:dyDescent="0.3">
      <c r="A651" s="1">
        <v>46169</v>
      </c>
      <c r="B651" t="s">
        <v>7</v>
      </c>
      <c r="C651" t="s">
        <v>13</v>
      </c>
      <c r="D651" t="s">
        <v>82</v>
      </c>
      <c r="E651" t="s">
        <v>18</v>
      </c>
      <c r="F651" t="s">
        <v>183</v>
      </c>
      <c r="G651" t="s">
        <v>16</v>
      </c>
    </row>
    <row r="652" spans="1:7" x14ac:dyDescent="0.3">
      <c r="A652" s="1">
        <v>46169</v>
      </c>
      <c r="B652" t="s">
        <v>7</v>
      </c>
      <c r="C652" t="s">
        <v>8</v>
      </c>
      <c r="D652" t="s">
        <v>17</v>
      </c>
      <c r="E652" t="s">
        <v>18</v>
      </c>
      <c r="F652" t="s">
        <v>183</v>
      </c>
      <c r="G652" t="s">
        <v>12</v>
      </c>
    </row>
    <row r="653" spans="1:7" x14ac:dyDescent="0.3">
      <c r="A653" s="1">
        <v>46169</v>
      </c>
      <c r="B653" t="s">
        <v>7</v>
      </c>
      <c r="C653" t="s">
        <v>8</v>
      </c>
      <c r="D653" t="s">
        <v>42</v>
      </c>
      <c r="E653" t="s">
        <v>18</v>
      </c>
      <c r="F653" t="s">
        <v>183</v>
      </c>
      <c r="G653" t="s">
        <v>12</v>
      </c>
    </row>
    <row r="654" spans="1:7" x14ac:dyDescent="0.3">
      <c r="A654" s="1">
        <v>46169</v>
      </c>
      <c r="B654" t="s">
        <v>73</v>
      </c>
      <c r="C654" t="s">
        <v>73</v>
      </c>
      <c r="D654" t="s">
        <v>107</v>
      </c>
      <c r="E654" t="s">
        <v>18</v>
      </c>
      <c r="F654" t="s">
        <v>183</v>
      </c>
      <c r="G654" t="s">
        <v>12</v>
      </c>
    </row>
    <row r="655" spans="1:7" x14ac:dyDescent="0.3">
      <c r="A655" s="1">
        <v>46169</v>
      </c>
      <c r="B655" t="s">
        <v>7</v>
      </c>
      <c r="C655" t="s">
        <v>8</v>
      </c>
      <c r="D655" t="s">
        <v>42</v>
      </c>
      <c r="E655" t="s">
        <v>10</v>
      </c>
      <c r="F655" t="s">
        <v>183</v>
      </c>
      <c r="G655" t="s">
        <v>16</v>
      </c>
    </row>
    <row r="656" spans="1:7" x14ac:dyDescent="0.3">
      <c r="A656" s="1">
        <v>46169</v>
      </c>
      <c r="B656" t="s">
        <v>7</v>
      </c>
      <c r="C656" t="s">
        <v>8</v>
      </c>
      <c r="D656" t="s">
        <v>23</v>
      </c>
      <c r="E656" t="s">
        <v>18</v>
      </c>
      <c r="F656" t="s">
        <v>183</v>
      </c>
      <c r="G656" t="s">
        <v>12</v>
      </c>
    </row>
    <row r="657" spans="1:7" x14ac:dyDescent="0.3">
      <c r="A657" s="1">
        <v>46169</v>
      </c>
      <c r="B657" t="s">
        <v>7</v>
      </c>
      <c r="C657" t="s">
        <v>61</v>
      </c>
      <c r="D657" t="s">
        <v>61</v>
      </c>
      <c r="E657" t="s">
        <v>10</v>
      </c>
      <c r="F657" t="s">
        <v>183</v>
      </c>
      <c r="G657" t="s">
        <v>12</v>
      </c>
    </row>
    <row r="658" spans="1:7" x14ac:dyDescent="0.3">
      <c r="A658" s="1">
        <v>46169</v>
      </c>
      <c r="B658" t="s">
        <v>7</v>
      </c>
      <c r="C658" t="s">
        <v>8</v>
      </c>
      <c r="D658" t="s">
        <v>8</v>
      </c>
      <c r="E658" t="s">
        <v>18</v>
      </c>
      <c r="F658" t="s">
        <v>183</v>
      </c>
      <c r="G658" t="s">
        <v>12</v>
      </c>
    </row>
    <row r="659" spans="1:7" x14ac:dyDescent="0.3">
      <c r="A659" s="1">
        <v>46169</v>
      </c>
      <c r="B659" t="s">
        <v>7</v>
      </c>
      <c r="C659" t="s">
        <v>8</v>
      </c>
      <c r="D659" t="s">
        <v>22</v>
      </c>
      <c r="E659" t="s">
        <v>18</v>
      </c>
      <c r="F659" t="s">
        <v>183</v>
      </c>
      <c r="G659" t="s">
        <v>12</v>
      </c>
    </row>
    <row r="660" spans="1:7" x14ac:dyDescent="0.3">
      <c r="A660" s="1">
        <v>46169</v>
      </c>
      <c r="B660" t="s">
        <v>7</v>
      </c>
      <c r="C660" t="s">
        <v>8</v>
      </c>
      <c r="D660" t="s">
        <v>17</v>
      </c>
      <c r="E660" t="s">
        <v>18</v>
      </c>
      <c r="F660" t="s">
        <v>183</v>
      </c>
      <c r="G660" t="s">
        <v>12</v>
      </c>
    </row>
    <row r="661" spans="1:7" x14ac:dyDescent="0.3">
      <c r="A661" s="1">
        <v>46169</v>
      </c>
      <c r="B661" t="s">
        <v>7</v>
      </c>
      <c r="C661" t="s">
        <v>8</v>
      </c>
      <c r="D661" t="s">
        <v>22</v>
      </c>
      <c r="E661" t="s">
        <v>10</v>
      </c>
      <c r="F661" t="s">
        <v>183</v>
      </c>
      <c r="G661" t="s">
        <v>12</v>
      </c>
    </row>
    <row r="662" spans="1:7" x14ac:dyDescent="0.3">
      <c r="A662" s="1">
        <v>46169</v>
      </c>
      <c r="B662" t="s">
        <v>7</v>
      </c>
      <c r="C662" t="s">
        <v>56</v>
      </c>
      <c r="D662" t="s">
        <v>134</v>
      </c>
      <c r="E662" t="s">
        <v>18</v>
      </c>
      <c r="F662" t="s">
        <v>183</v>
      </c>
      <c r="G662" t="s">
        <v>12</v>
      </c>
    </row>
    <row r="663" spans="1:7" x14ac:dyDescent="0.3">
      <c r="A663" s="1">
        <v>46169</v>
      </c>
      <c r="B663" t="s">
        <v>7</v>
      </c>
      <c r="C663" t="s">
        <v>8</v>
      </c>
      <c r="D663" t="s">
        <v>89</v>
      </c>
      <c r="E663" t="s">
        <v>18</v>
      </c>
      <c r="F663" t="s">
        <v>184</v>
      </c>
      <c r="G663" t="s">
        <v>12</v>
      </c>
    </row>
    <row r="664" spans="1:7" x14ac:dyDescent="0.3">
      <c r="A664" s="1">
        <v>46169</v>
      </c>
      <c r="B664" t="s">
        <v>7</v>
      </c>
      <c r="C664" t="s">
        <v>8</v>
      </c>
      <c r="D664" t="s">
        <v>8</v>
      </c>
      <c r="E664" t="s">
        <v>18</v>
      </c>
      <c r="F664" t="s">
        <v>184</v>
      </c>
      <c r="G664" t="s">
        <v>12</v>
      </c>
    </row>
    <row r="665" spans="1:7" x14ac:dyDescent="0.3">
      <c r="A665" s="1">
        <v>46169</v>
      </c>
      <c r="B665" t="s">
        <v>7</v>
      </c>
      <c r="C665" t="s">
        <v>8</v>
      </c>
      <c r="D665" t="s">
        <v>8</v>
      </c>
      <c r="E665" t="s">
        <v>18</v>
      </c>
      <c r="F665" t="s">
        <v>184</v>
      </c>
      <c r="G665" t="s">
        <v>12</v>
      </c>
    </row>
    <row r="666" spans="1:7" x14ac:dyDescent="0.3">
      <c r="A666" s="1">
        <v>46169</v>
      </c>
      <c r="B666" t="s">
        <v>7</v>
      </c>
      <c r="C666" t="s">
        <v>13</v>
      </c>
      <c r="D666" t="s">
        <v>82</v>
      </c>
      <c r="E666" t="s">
        <v>10</v>
      </c>
      <c r="F666" t="s">
        <v>184</v>
      </c>
      <c r="G666" t="s">
        <v>12</v>
      </c>
    </row>
    <row r="667" spans="1:7" x14ac:dyDescent="0.3">
      <c r="A667" s="1">
        <v>46169</v>
      </c>
      <c r="B667" t="s">
        <v>7</v>
      </c>
      <c r="C667" t="s">
        <v>19</v>
      </c>
      <c r="D667" t="s">
        <v>19</v>
      </c>
      <c r="E667" t="s">
        <v>10</v>
      </c>
      <c r="F667" t="s">
        <v>184</v>
      </c>
      <c r="G667" t="s">
        <v>12</v>
      </c>
    </row>
    <row r="668" spans="1:7" x14ac:dyDescent="0.3">
      <c r="A668" s="1">
        <v>46169</v>
      </c>
      <c r="B668" t="s">
        <v>7</v>
      </c>
      <c r="C668" t="s">
        <v>8</v>
      </c>
      <c r="D668" t="s">
        <v>17</v>
      </c>
      <c r="E668" t="s">
        <v>18</v>
      </c>
      <c r="F668" t="s">
        <v>184</v>
      </c>
      <c r="G668" t="s">
        <v>12</v>
      </c>
    </row>
    <row r="669" spans="1:7" x14ac:dyDescent="0.3">
      <c r="A669" s="1">
        <v>46169</v>
      </c>
      <c r="B669" t="s">
        <v>7</v>
      </c>
      <c r="C669" t="s">
        <v>8</v>
      </c>
      <c r="D669" t="s">
        <v>17</v>
      </c>
      <c r="E669" t="s">
        <v>18</v>
      </c>
      <c r="F669" t="s">
        <v>184</v>
      </c>
      <c r="G669" t="s">
        <v>12</v>
      </c>
    </row>
    <row r="670" spans="1:7" x14ac:dyDescent="0.3">
      <c r="A670" s="1">
        <v>46169</v>
      </c>
      <c r="B670" t="s">
        <v>7</v>
      </c>
      <c r="C670" t="s">
        <v>8</v>
      </c>
      <c r="D670" t="s">
        <v>17</v>
      </c>
      <c r="E670" t="s">
        <v>18</v>
      </c>
      <c r="F670" t="s">
        <v>184</v>
      </c>
      <c r="G670" t="s">
        <v>12</v>
      </c>
    </row>
    <row r="671" spans="1:7" x14ac:dyDescent="0.3">
      <c r="A671" s="1">
        <v>46169</v>
      </c>
      <c r="B671" t="s">
        <v>7</v>
      </c>
      <c r="C671" t="s">
        <v>8</v>
      </c>
      <c r="D671" t="s">
        <v>42</v>
      </c>
      <c r="E671" t="s">
        <v>18</v>
      </c>
      <c r="F671" t="s">
        <v>184</v>
      </c>
      <c r="G671" t="s">
        <v>12</v>
      </c>
    </row>
    <row r="672" spans="1:7" x14ac:dyDescent="0.3">
      <c r="A672" s="1">
        <v>46169</v>
      </c>
      <c r="B672" t="s">
        <v>29</v>
      </c>
      <c r="C672" t="s">
        <v>79</v>
      </c>
      <c r="D672" t="s">
        <v>175</v>
      </c>
      <c r="E672" t="s">
        <v>18</v>
      </c>
      <c r="F672" t="s">
        <v>184</v>
      </c>
      <c r="G672" t="s">
        <v>12</v>
      </c>
    </row>
    <row r="673" spans="1:7" x14ac:dyDescent="0.3">
      <c r="A673" s="1">
        <v>46169</v>
      </c>
      <c r="B673" t="s">
        <v>7</v>
      </c>
      <c r="C673" t="s">
        <v>8</v>
      </c>
      <c r="D673" t="s">
        <v>8</v>
      </c>
      <c r="E673" t="s">
        <v>10</v>
      </c>
      <c r="F673" t="s">
        <v>184</v>
      </c>
      <c r="G673" t="s">
        <v>12</v>
      </c>
    </row>
    <row r="674" spans="1:7" x14ac:dyDescent="0.3">
      <c r="A674" s="1">
        <v>46169</v>
      </c>
      <c r="B674" t="s">
        <v>7</v>
      </c>
      <c r="C674" t="s">
        <v>8</v>
      </c>
      <c r="D674" t="s">
        <v>8</v>
      </c>
      <c r="E674" t="s">
        <v>18</v>
      </c>
      <c r="F674" t="s">
        <v>184</v>
      </c>
      <c r="G674" t="s">
        <v>12</v>
      </c>
    </row>
    <row r="675" spans="1:7" x14ac:dyDescent="0.3">
      <c r="A675" s="1">
        <v>46169</v>
      </c>
      <c r="B675" t="s">
        <v>7</v>
      </c>
      <c r="C675" t="s">
        <v>8</v>
      </c>
      <c r="D675" t="s">
        <v>22</v>
      </c>
      <c r="E675" t="s">
        <v>18</v>
      </c>
      <c r="F675" t="s">
        <v>184</v>
      </c>
      <c r="G675" t="s">
        <v>12</v>
      </c>
    </row>
    <row r="676" spans="1:7" x14ac:dyDescent="0.3">
      <c r="A676" s="1">
        <v>46169</v>
      </c>
      <c r="B676" t="s">
        <v>7</v>
      </c>
      <c r="C676" t="s">
        <v>8</v>
      </c>
      <c r="D676" t="s">
        <v>23</v>
      </c>
      <c r="E676" t="s">
        <v>10</v>
      </c>
      <c r="F676" t="s">
        <v>184</v>
      </c>
      <c r="G676" t="s">
        <v>12</v>
      </c>
    </row>
    <row r="677" spans="1:7" x14ac:dyDescent="0.3">
      <c r="A677" s="1">
        <v>46169</v>
      </c>
      <c r="B677" t="s">
        <v>7</v>
      </c>
      <c r="C677" t="s">
        <v>8</v>
      </c>
      <c r="D677" t="s">
        <v>17</v>
      </c>
      <c r="E677" t="s">
        <v>10</v>
      </c>
      <c r="F677" t="s">
        <v>184</v>
      </c>
      <c r="G677" t="s">
        <v>12</v>
      </c>
    </row>
    <row r="678" spans="1:7" x14ac:dyDescent="0.3">
      <c r="A678" s="1">
        <v>46169</v>
      </c>
      <c r="B678" t="s">
        <v>7</v>
      </c>
      <c r="C678" t="s">
        <v>8</v>
      </c>
      <c r="D678" t="s">
        <v>71</v>
      </c>
      <c r="E678" t="s">
        <v>18</v>
      </c>
      <c r="F678" t="s">
        <v>184</v>
      </c>
      <c r="G678" t="s">
        <v>12</v>
      </c>
    </row>
    <row r="679" spans="1:7" x14ac:dyDescent="0.3">
      <c r="A679" s="1">
        <v>46169</v>
      </c>
      <c r="B679" t="s">
        <v>7</v>
      </c>
      <c r="C679" t="s">
        <v>8</v>
      </c>
      <c r="D679" t="s">
        <v>22</v>
      </c>
      <c r="E679" t="s">
        <v>18</v>
      </c>
      <c r="F679" t="s">
        <v>184</v>
      </c>
      <c r="G679" t="s">
        <v>12</v>
      </c>
    </row>
    <row r="680" spans="1:7" x14ac:dyDescent="0.3">
      <c r="A680" s="1">
        <v>46169</v>
      </c>
      <c r="B680" t="s">
        <v>7</v>
      </c>
      <c r="C680" t="s">
        <v>8</v>
      </c>
      <c r="D680" t="s">
        <v>17</v>
      </c>
      <c r="E680" t="s">
        <v>18</v>
      </c>
      <c r="F680" t="s">
        <v>184</v>
      </c>
      <c r="G680" t="s">
        <v>12</v>
      </c>
    </row>
    <row r="681" spans="1:7" x14ac:dyDescent="0.3">
      <c r="A681" s="1">
        <v>46169</v>
      </c>
      <c r="B681" t="s">
        <v>7</v>
      </c>
      <c r="C681" t="s">
        <v>8</v>
      </c>
      <c r="D681" t="s">
        <v>25</v>
      </c>
      <c r="E681" t="s">
        <v>18</v>
      </c>
      <c r="F681" t="s">
        <v>184</v>
      </c>
      <c r="G681" t="s">
        <v>12</v>
      </c>
    </row>
    <row r="682" spans="1:7" x14ac:dyDescent="0.3">
      <c r="A682" s="1">
        <v>46169</v>
      </c>
      <c r="B682" t="s">
        <v>7</v>
      </c>
      <c r="C682" t="s">
        <v>8</v>
      </c>
      <c r="D682" t="s">
        <v>9</v>
      </c>
      <c r="E682" t="s">
        <v>10</v>
      </c>
      <c r="F682" t="s">
        <v>184</v>
      </c>
      <c r="G682" t="s">
        <v>12</v>
      </c>
    </row>
    <row r="683" spans="1:7" x14ac:dyDescent="0.3">
      <c r="A683" s="1">
        <v>46169</v>
      </c>
      <c r="B683" t="s">
        <v>7</v>
      </c>
      <c r="C683" t="s">
        <v>19</v>
      </c>
      <c r="D683" t="s">
        <v>151</v>
      </c>
      <c r="E683" t="s">
        <v>18</v>
      </c>
      <c r="F683" t="s">
        <v>184</v>
      </c>
      <c r="G683" t="s">
        <v>12</v>
      </c>
    </row>
    <row r="684" spans="1:7" x14ac:dyDescent="0.3">
      <c r="A684" s="1">
        <v>46169</v>
      </c>
      <c r="B684" t="s">
        <v>7</v>
      </c>
      <c r="C684" t="s">
        <v>8</v>
      </c>
      <c r="D684" t="s">
        <v>21</v>
      </c>
      <c r="E684" t="s">
        <v>10</v>
      </c>
      <c r="F684" t="s">
        <v>184</v>
      </c>
      <c r="G684" t="s">
        <v>12</v>
      </c>
    </row>
    <row r="685" spans="1:7" x14ac:dyDescent="0.3">
      <c r="A685" s="1">
        <v>46169</v>
      </c>
      <c r="B685" t="s">
        <v>7</v>
      </c>
      <c r="C685" t="s">
        <v>8</v>
      </c>
      <c r="D685" t="s">
        <v>17</v>
      </c>
      <c r="E685" t="s">
        <v>10</v>
      </c>
      <c r="F685" t="s">
        <v>184</v>
      </c>
      <c r="G685" t="s">
        <v>12</v>
      </c>
    </row>
    <row r="686" spans="1:7" x14ac:dyDescent="0.3">
      <c r="A686" s="1">
        <v>46169</v>
      </c>
      <c r="B686" t="s">
        <v>7</v>
      </c>
      <c r="C686" t="s">
        <v>56</v>
      </c>
      <c r="D686" t="s">
        <v>92</v>
      </c>
      <c r="E686" t="s">
        <v>10</v>
      </c>
      <c r="F686" t="s">
        <v>184</v>
      </c>
      <c r="G686" t="s">
        <v>12</v>
      </c>
    </row>
    <row r="687" spans="1:7" x14ac:dyDescent="0.3">
      <c r="A687" s="1">
        <v>46169</v>
      </c>
      <c r="B687" t="s">
        <v>7</v>
      </c>
      <c r="C687" t="s">
        <v>8</v>
      </c>
      <c r="D687" t="s">
        <v>17</v>
      </c>
      <c r="E687" t="s">
        <v>10</v>
      </c>
      <c r="F687" t="s">
        <v>184</v>
      </c>
      <c r="G687" t="s">
        <v>12</v>
      </c>
    </row>
    <row r="688" spans="1:7" x14ac:dyDescent="0.3">
      <c r="A688" s="1">
        <v>46169</v>
      </c>
      <c r="B688" t="s">
        <v>7</v>
      </c>
      <c r="C688" t="s">
        <v>8</v>
      </c>
      <c r="D688" t="s">
        <v>71</v>
      </c>
      <c r="E688" t="s">
        <v>18</v>
      </c>
      <c r="F688" t="s">
        <v>184</v>
      </c>
      <c r="G688" t="s">
        <v>12</v>
      </c>
    </row>
    <row r="689" spans="1:7" x14ac:dyDescent="0.3">
      <c r="A689" s="1">
        <v>46169</v>
      </c>
      <c r="B689" t="s">
        <v>7</v>
      </c>
      <c r="C689" t="s">
        <v>8</v>
      </c>
      <c r="D689" t="s">
        <v>17</v>
      </c>
      <c r="E689" t="s">
        <v>18</v>
      </c>
      <c r="F689" t="s">
        <v>184</v>
      </c>
      <c r="G689" t="s">
        <v>12</v>
      </c>
    </row>
    <row r="690" spans="1:7" x14ac:dyDescent="0.3">
      <c r="A690" s="1">
        <v>46169</v>
      </c>
      <c r="B690" t="s">
        <v>7</v>
      </c>
      <c r="C690" t="s">
        <v>13</v>
      </c>
      <c r="D690" t="s">
        <v>82</v>
      </c>
      <c r="E690" t="s">
        <v>18</v>
      </c>
      <c r="F690" t="s">
        <v>184</v>
      </c>
      <c r="G690" t="s">
        <v>12</v>
      </c>
    </row>
    <row r="691" spans="1:7" x14ac:dyDescent="0.3">
      <c r="A691" s="1">
        <v>46169</v>
      </c>
      <c r="B691" t="s">
        <v>7</v>
      </c>
      <c r="C691" t="s">
        <v>13</v>
      </c>
      <c r="D691" t="s">
        <v>13</v>
      </c>
      <c r="E691" t="s">
        <v>18</v>
      </c>
      <c r="F691" t="s">
        <v>184</v>
      </c>
      <c r="G691" t="s">
        <v>12</v>
      </c>
    </row>
    <row r="692" spans="1:7" x14ac:dyDescent="0.3">
      <c r="A692" s="1">
        <v>46169</v>
      </c>
      <c r="B692" t="s">
        <v>7</v>
      </c>
      <c r="C692" t="s">
        <v>8</v>
      </c>
      <c r="D692" t="s">
        <v>17</v>
      </c>
      <c r="E692" t="s">
        <v>18</v>
      </c>
      <c r="F692" t="s">
        <v>184</v>
      </c>
      <c r="G692" t="s">
        <v>12</v>
      </c>
    </row>
    <row r="693" spans="1:7" x14ac:dyDescent="0.3">
      <c r="A693" s="1">
        <v>46169</v>
      </c>
      <c r="B693" t="s">
        <v>7</v>
      </c>
      <c r="C693" t="s">
        <v>8</v>
      </c>
      <c r="D693" t="s">
        <v>22</v>
      </c>
      <c r="E693" t="s">
        <v>18</v>
      </c>
      <c r="F693" t="s">
        <v>184</v>
      </c>
      <c r="G693" t="s">
        <v>12</v>
      </c>
    </row>
    <row r="694" spans="1:7" x14ac:dyDescent="0.3">
      <c r="A694" s="1">
        <v>46169</v>
      </c>
      <c r="B694" t="s">
        <v>7</v>
      </c>
      <c r="C694" t="s">
        <v>8</v>
      </c>
      <c r="D694" t="s">
        <v>22</v>
      </c>
      <c r="E694" t="s">
        <v>18</v>
      </c>
      <c r="F694" t="s">
        <v>184</v>
      </c>
      <c r="G694" t="s">
        <v>12</v>
      </c>
    </row>
    <row r="695" spans="1:7" x14ac:dyDescent="0.3">
      <c r="A695" s="1">
        <v>46169</v>
      </c>
      <c r="B695" t="s">
        <v>7</v>
      </c>
      <c r="C695" t="s">
        <v>26</v>
      </c>
      <c r="D695" t="s">
        <v>26</v>
      </c>
      <c r="E695" t="s">
        <v>18</v>
      </c>
      <c r="F695" t="s">
        <v>184</v>
      </c>
      <c r="G695" t="s">
        <v>12</v>
      </c>
    </row>
    <row r="696" spans="1:7" x14ac:dyDescent="0.3">
      <c r="A696" s="1">
        <v>46169</v>
      </c>
      <c r="B696" t="s">
        <v>7</v>
      </c>
      <c r="C696" t="s">
        <v>61</v>
      </c>
      <c r="D696" t="s">
        <v>66</v>
      </c>
      <c r="E696" t="s">
        <v>10</v>
      </c>
      <c r="F696" t="s">
        <v>184</v>
      </c>
      <c r="G696" t="s">
        <v>12</v>
      </c>
    </row>
    <row r="697" spans="1:7" x14ac:dyDescent="0.3">
      <c r="A697" s="1">
        <v>46169</v>
      </c>
      <c r="B697" t="s">
        <v>7</v>
      </c>
      <c r="C697" t="s">
        <v>8</v>
      </c>
      <c r="D697" t="s">
        <v>17</v>
      </c>
      <c r="E697" t="s">
        <v>10</v>
      </c>
      <c r="F697" t="s">
        <v>184</v>
      </c>
      <c r="G697" t="s">
        <v>12</v>
      </c>
    </row>
    <row r="698" spans="1:7" x14ac:dyDescent="0.3">
      <c r="A698" s="1">
        <v>46169</v>
      </c>
      <c r="B698" t="s">
        <v>7</v>
      </c>
      <c r="C698" t="s">
        <v>8</v>
      </c>
      <c r="D698" t="s">
        <v>17</v>
      </c>
      <c r="E698" t="s">
        <v>18</v>
      </c>
      <c r="F698" t="s">
        <v>184</v>
      </c>
      <c r="G698" t="s">
        <v>12</v>
      </c>
    </row>
    <row r="699" spans="1:7" x14ac:dyDescent="0.3">
      <c r="A699" s="1">
        <v>46169</v>
      </c>
      <c r="B699" t="s">
        <v>7</v>
      </c>
      <c r="C699" t="s">
        <v>8</v>
      </c>
      <c r="D699" t="s">
        <v>89</v>
      </c>
      <c r="E699" t="s">
        <v>18</v>
      </c>
      <c r="F699" t="s">
        <v>185</v>
      </c>
      <c r="G699" t="s">
        <v>12</v>
      </c>
    </row>
    <row r="700" spans="1:7" x14ac:dyDescent="0.3">
      <c r="A700" s="1">
        <v>46169</v>
      </c>
      <c r="B700" t="s">
        <v>7</v>
      </c>
      <c r="C700" t="s">
        <v>8</v>
      </c>
      <c r="D700" t="s">
        <v>17</v>
      </c>
      <c r="E700" t="s">
        <v>18</v>
      </c>
      <c r="F700" t="s">
        <v>185</v>
      </c>
      <c r="G700" t="s">
        <v>16</v>
      </c>
    </row>
    <row r="701" spans="1:7" x14ac:dyDescent="0.3">
      <c r="A701" s="1">
        <v>46169</v>
      </c>
      <c r="B701" t="s">
        <v>7</v>
      </c>
      <c r="C701" t="s">
        <v>8</v>
      </c>
      <c r="D701" t="s">
        <v>8</v>
      </c>
      <c r="E701" t="s">
        <v>10</v>
      </c>
      <c r="F701" t="s">
        <v>185</v>
      </c>
      <c r="G701" t="s">
        <v>16</v>
      </c>
    </row>
    <row r="702" spans="1:7" x14ac:dyDescent="0.3">
      <c r="A702" s="1">
        <v>46169</v>
      </c>
      <c r="B702" t="s">
        <v>7</v>
      </c>
      <c r="C702" t="s">
        <v>26</v>
      </c>
      <c r="D702" t="s">
        <v>26</v>
      </c>
      <c r="E702" t="s">
        <v>18</v>
      </c>
      <c r="F702" t="s">
        <v>185</v>
      </c>
      <c r="G702" t="s">
        <v>12</v>
      </c>
    </row>
    <row r="703" spans="1:7" x14ac:dyDescent="0.3">
      <c r="A703" s="1">
        <v>46169</v>
      </c>
      <c r="B703" t="s">
        <v>7</v>
      </c>
      <c r="C703" t="s">
        <v>8</v>
      </c>
      <c r="D703" t="s">
        <v>71</v>
      </c>
      <c r="E703" t="s">
        <v>10</v>
      </c>
      <c r="F703" t="s">
        <v>185</v>
      </c>
      <c r="G703" t="s">
        <v>16</v>
      </c>
    </row>
    <row r="704" spans="1:7" x14ac:dyDescent="0.3">
      <c r="A704" s="1">
        <v>46169</v>
      </c>
      <c r="B704" t="s">
        <v>46</v>
      </c>
      <c r="C704" t="s">
        <v>46</v>
      </c>
      <c r="D704" t="s">
        <v>186</v>
      </c>
      <c r="E704" t="s">
        <v>10</v>
      </c>
      <c r="F704" t="s">
        <v>185</v>
      </c>
      <c r="G704" t="s">
        <v>16</v>
      </c>
    </row>
    <row r="705" spans="1:7" x14ac:dyDescent="0.3">
      <c r="A705" s="1">
        <v>46169</v>
      </c>
      <c r="B705" t="s">
        <v>7</v>
      </c>
      <c r="C705" t="s">
        <v>7</v>
      </c>
      <c r="D705" t="s">
        <v>7</v>
      </c>
      <c r="E705" t="s">
        <v>18</v>
      </c>
      <c r="F705" t="s">
        <v>185</v>
      </c>
      <c r="G705" t="s">
        <v>16</v>
      </c>
    </row>
    <row r="706" spans="1:7" x14ac:dyDescent="0.3">
      <c r="A706" s="1">
        <v>46169</v>
      </c>
      <c r="B706" t="s">
        <v>7</v>
      </c>
      <c r="C706" t="s">
        <v>8</v>
      </c>
      <c r="D706" t="s">
        <v>8</v>
      </c>
      <c r="E706" t="s">
        <v>10</v>
      </c>
      <c r="F706" t="s">
        <v>185</v>
      </c>
      <c r="G706" t="s">
        <v>12</v>
      </c>
    </row>
    <row r="707" spans="1:7" x14ac:dyDescent="0.3">
      <c r="A707" s="1">
        <v>46169</v>
      </c>
      <c r="B707" t="s">
        <v>7</v>
      </c>
      <c r="C707" t="s">
        <v>8</v>
      </c>
      <c r="D707" t="s">
        <v>17</v>
      </c>
      <c r="E707" t="s">
        <v>18</v>
      </c>
      <c r="F707" t="s">
        <v>185</v>
      </c>
      <c r="G707" t="s">
        <v>12</v>
      </c>
    </row>
    <row r="708" spans="1:7" x14ac:dyDescent="0.3">
      <c r="A708" s="1">
        <v>46169</v>
      </c>
      <c r="B708" t="s">
        <v>7</v>
      </c>
      <c r="C708" t="s">
        <v>8</v>
      </c>
      <c r="D708" t="s">
        <v>17</v>
      </c>
      <c r="E708" t="s">
        <v>18</v>
      </c>
      <c r="F708" t="s">
        <v>185</v>
      </c>
      <c r="G708" t="s">
        <v>16</v>
      </c>
    </row>
    <row r="709" spans="1:7" x14ac:dyDescent="0.3">
      <c r="A709" s="1">
        <v>46169</v>
      </c>
      <c r="B709" t="s">
        <v>7</v>
      </c>
      <c r="C709" t="s">
        <v>13</v>
      </c>
      <c r="D709" t="s">
        <v>141</v>
      </c>
      <c r="E709" t="s">
        <v>18</v>
      </c>
      <c r="F709" t="s">
        <v>185</v>
      </c>
      <c r="G709" t="s">
        <v>16</v>
      </c>
    </row>
    <row r="710" spans="1:7" x14ac:dyDescent="0.3">
      <c r="A710" s="1">
        <v>46169</v>
      </c>
      <c r="B710" t="s">
        <v>7</v>
      </c>
      <c r="C710" t="s">
        <v>8</v>
      </c>
      <c r="D710" t="s">
        <v>17</v>
      </c>
      <c r="E710" t="s">
        <v>18</v>
      </c>
      <c r="F710" t="s">
        <v>185</v>
      </c>
      <c r="G710" t="s">
        <v>16</v>
      </c>
    </row>
    <row r="711" spans="1:7" x14ac:dyDescent="0.3">
      <c r="A711" s="1">
        <v>46169</v>
      </c>
      <c r="B711" t="s">
        <v>7</v>
      </c>
      <c r="C711" t="s">
        <v>8</v>
      </c>
      <c r="D711" t="s">
        <v>17</v>
      </c>
      <c r="E711" t="s">
        <v>18</v>
      </c>
      <c r="F711" t="s">
        <v>185</v>
      </c>
      <c r="G711" t="s">
        <v>16</v>
      </c>
    </row>
    <row r="712" spans="1:7" x14ac:dyDescent="0.3">
      <c r="A712" s="1">
        <v>46169</v>
      </c>
      <c r="B712" t="s">
        <v>7</v>
      </c>
      <c r="C712" t="s">
        <v>8</v>
      </c>
      <c r="D712" t="s">
        <v>71</v>
      </c>
      <c r="E712" t="s">
        <v>18</v>
      </c>
      <c r="F712" t="s">
        <v>185</v>
      </c>
      <c r="G712" t="s">
        <v>16</v>
      </c>
    </row>
    <row r="713" spans="1:7" x14ac:dyDescent="0.3">
      <c r="A713" s="1">
        <v>46169</v>
      </c>
      <c r="B713" t="s">
        <v>7</v>
      </c>
      <c r="C713" t="s">
        <v>62</v>
      </c>
      <c r="D713" t="s">
        <v>62</v>
      </c>
      <c r="E713" t="s">
        <v>10</v>
      </c>
      <c r="F713" t="s">
        <v>187</v>
      </c>
      <c r="G713" t="s">
        <v>16</v>
      </c>
    </row>
    <row r="714" spans="1:7" x14ac:dyDescent="0.3">
      <c r="A714" s="1">
        <v>46169</v>
      </c>
      <c r="B714" t="s">
        <v>7</v>
      </c>
      <c r="C714" t="s">
        <v>62</v>
      </c>
      <c r="D714" t="s">
        <v>62</v>
      </c>
      <c r="E714" t="s">
        <v>18</v>
      </c>
      <c r="F714" t="s">
        <v>187</v>
      </c>
      <c r="G714" t="s">
        <v>16</v>
      </c>
    </row>
    <row r="715" spans="1:7" x14ac:dyDescent="0.3">
      <c r="A715" s="1">
        <v>46169</v>
      </c>
      <c r="B715" t="s">
        <v>7</v>
      </c>
      <c r="C715" t="s">
        <v>8</v>
      </c>
      <c r="D715" t="s">
        <v>22</v>
      </c>
      <c r="E715" t="s">
        <v>10</v>
      </c>
      <c r="F715" t="s">
        <v>118</v>
      </c>
      <c r="G715" t="s">
        <v>12</v>
      </c>
    </row>
    <row r="716" spans="1:7" x14ac:dyDescent="0.3">
      <c r="A716" s="1">
        <v>46169</v>
      </c>
      <c r="B716" t="s">
        <v>7</v>
      </c>
      <c r="C716" t="s">
        <v>8</v>
      </c>
      <c r="D716" t="s">
        <v>109</v>
      </c>
      <c r="E716" t="s">
        <v>18</v>
      </c>
      <c r="F716" t="s">
        <v>102</v>
      </c>
      <c r="G716" t="s">
        <v>12</v>
      </c>
    </row>
    <row r="717" spans="1:7" x14ac:dyDescent="0.3">
      <c r="A717" s="1">
        <v>46169</v>
      </c>
      <c r="B717" t="s">
        <v>7</v>
      </c>
      <c r="C717" t="s">
        <v>8</v>
      </c>
      <c r="D717" t="s">
        <v>89</v>
      </c>
      <c r="E717" t="s">
        <v>18</v>
      </c>
      <c r="F717" t="s">
        <v>184</v>
      </c>
      <c r="G717" t="s">
        <v>12</v>
      </c>
    </row>
    <row r="718" spans="1:7" x14ac:dyDescent="0.3">
      <c r="A718" s="1">
        <v>46169</v>
      </c>
      <c r="B718" t="s">
        <v>7</v>
      </c>
      <c r="C718" t="s">
        <v>13</v>
      </c>
      <c r="D718" t="s">
        <v>13</v>
      </c>
      <c r="E718" t="s">
        <v>18</v>
      </c>
      <c r="F718" t="s">
        <v>118</v>
      </c>
      <c r="G718" t="s">
        <v>12</v>
      </c>
    </row>
    <row r="719" spans="1:7" x14ac:dyDescent="0.3">
      <c r="A719" s="1">
        <v>46169</v>
      </c>
      <c r="B719" t="s">
        <v>7</v>
      </c>
      <c r="C719" t="s">
        <v>8</v>
      </c>
      <c r="D719" t="s">
        <v>34</v>
      </c>
      <c r="E719" t="s">
        <v>18</v>
      </c>
      <c r="F719" t="s">
        <v>118</v>
      </c>
      <c r="G719" t="s">
        <v>12</v>
      </c>
    </row>
    <row r="720" spans="1:7" x14ac:dyDescent="0.3">
      <c r="A720" s="1">
        <v>46169</v>
      </c>
      <c r="B720" t="s">
        <v>7</v>
      </c>
      <c r="C720" t="s">
        <v>8</v>
      </c>
      <c r="D720" t="s">
        <v>17</v>
      </c>
      <c r="E720" t="s">
        <v>18</v>
      </c>
      <c r="F720" t="s">
        <v>118</v>
      </c>
      <c r="G720" t="s">
        <v>16</v>
      </c>
    </row>
    <row r="721" spans="1:7" x14ac:dyDescent="0.3">
      <c r="A721" s="1">
        <v>46169</v>
      </c>
      <c r="B721" t="s">
        <v>7</v>
      </c>
      <c r="C721" t="s">
        <v>62</v>
      </c>
      <c r="D721" t="s">
        <v>94</v>
      </c>
      <c r="E721" t="s">
        <v>18</v>
      </c>
      <c r="F721" t="s">
        <v>118</v>
      </c>
      <c r="G721" t="s">
        <v>12</v>
      </c>
    </row>
    <row r="722" spans="1:7" x14ac:dyDescent="0.3">
      <c r="A722" s="1">
        <v>46169</v>
      </c>
      <c r="B722" t="s">
        <v>7</v>
      </c>
      <c r="C722" t="s">
        <v>8</v>
      </c>
      <c r="D722" t="s">
        <v>8</v>
      </c>
      <c r="E722" t="s">
        <v>18</v>
      </c>
      <c r="F722" t="s">
        <v>118</v>
      </c>
      <c r="G722" t="s">
        <v>16</v>
      </c>
    </row>
    <row r="723" spans="1:7" x14ac:dyDescent="0.3">
      <c r="A723" s="1">
        <v>46169</v>
      </c>
      <c r="B723" t="s">
        <v>7</v>
      </c>
      <c r="C723" t="s">
        <v>8</v>
      </c>
      <c r="D723" t="s">
        <v>8</v>
      </c>
      <c r="E723" t="s">
        <v>10</v>
      </c>
      <c r="F723" t="s">
        <v>118</v>
      </c>
      <c r="G723" t="s">
        <v>16</v>
      </c>
    </row>
    <row r="724" spans="1:7" x14ac:dyDescent="0.3">
      <c r="A724" s="1">
        <v>46169</v>
      </c>
      <c r="B724" t="s">
        <v>7</v>
      </c>
      <c r="C724" t="s">
        <v>8</v>
      </c>
      <c r="D724" t="s">
        <v>8</v>
      </c>
      <c r="E724" t="s">
        <v>18</v>
      </c>
      <c r="F724" t="s">
        <v>118</v>
      </c>
      <c r="G724" t="s">
        <v>16</v>
      </c>
    </row>
    <row r="725" spans="1:7" x14ac:dyDescent="0.3">
      <c r="A725" s="1">
        <v>46169</v>
      </c>
      <c r="B725" t="s">
        <v>7</v>
      </c>
      <c r="C725" t="s">
        <v>8</v>
      </c>
      <c r="D725" t="s">
        <v>23</v>
      </c>
      <c r="E725" t="s">
        <v>10</v>
      </c>
      <c r="F725" t="s">
        <v>118</v>
      </c>
      <c r="G725" t="s">
        <v>16</v>
      </c>
    </row>
    <row r="726" spans="1:7" x14ac:dyDescent="0.3">
      <c r="A726" s="1">
        <v>46169</v>
      </c>
      <c r="B726" t="s">
        <v>46</v>
      </c>
      <c r="C726" t="s">
        <v>46</v>
      </c>
      <c r="D726" t="s">
        <v>46</v>
      </c>
      <c r="E726" t="s">
        <v>18</v>
      </c>
      <c r="F726" t="s">
        <v>118</v>
      </c>
      <c r="G726" t="s">
        <v>16</v>
      </c>
    </row>
    <row r="727" spans="1:7" x14ac:dyDescent="0.3">
      <c r="A727" s="1">
        <v>46169</v>
      </c>
      <c r="B727" t="s">
        <v>7</v>
      </c>
      <c r="C727" t="s">
        <v>8</v>
      </c>
      <c r="D727" t="s">
        <v>17</v>
      </c>
      <c r="E727" t="s">
        <v>18</v>
      </c>
      <c r="F727" t="s">
        <v>118</v>
      </c>
      <c r="G727" t="s">
        <v>12</v>
      </c>
    </row>
    <row r="728" spans="1:7" x14ac:dyDescent="0.3">
      <c r="A728" s="1">
        <v>46169</v>
      </c>
      <c r="B728" t="s">
        <v>7</v>
      </c>
      <c r="C728" t="s">
        <v>8</v>
      </c>
      <c r="D728" t="s">
        <v>8</v>
      </c>
      <c r="E728" t="s">
        <v>117</v>
      </c>
      <c r="F728" t="s">
        <v>118</v>
      </c>
      <c r="G728" t="s">
        <v>16</v>
      </c>
    </row>
    <row r="729" spans="1:7" x14ac:dyDescent="0.3">
      <c r="A729" s="1">
        <v>46169</v>
      </c>
      <c r="B729" t="s">
        <v>7</v>
      </c>
      <c r="C729" t="s">
        <v>8</v>
      </c>
      <c r="D729" t="s">
        <v>17</v>
      </c>
      <c r="E729" t="s">
        <v>18</v>
      </c>
      <c r="F729" t="s">
        <v>118</v>
      </c>
      <c r="G729" t="s">
        <v>16</v>
      </c>
    </row>
    <row r="730" spans="1:7" x14ac:dyDescent="0.3">
      <c r="A730" s="1">
        <v>46169</v>
      </c>
      <c r="B730" t="s">
        <v>29</v>
      </c>
      <c r="C730" t="s">
        <v>177</v>
      </c>
      <c r="D730" t="s">
        <v>188</v>
      </c>
      <c r="E730" t="s">
        <v>18</v>
      </c>
      <c r="F730" t="s">
        <v>118</v>
      </c>
      <c r="G730" t="s">
        <v>16</v>
      </c>
    </row>
    <row r="731" spans="1:7" x14ac:dyDescent="0.3">
      <c r="A731" s="1">
        <v>46169</v>
      </c>
      <c r="B731" t="s">
        <v>7</v>
      </c>
      <c r="C731" t="s">
        <v>56</v>
      </c>
      <c r="D731" t="s">
        <v>92</v>
      </c>
      <c r="E731" t="s">
        <v>10</v>
      </c>
      <c r="F731" t="s">
        <v>118</v>
      </c>
      <c r="G731" t="s">
        <v>16</v>
      </c>
    </row>
    <row r="732" spans="1:7" x14ac:dyDescent="0.3">
      <c r="A732" s="1">
        <v>46169</v>
      </c>
      <c r="B732" t="s">
        <v>7</v>
      </c>
      <c r="C732" t="s">
        <v>8</v>
      </c>
      <c r="D732" t="s">
        <v>42</v>
      </c>
      <c r="E732" t="s">
        <v>18</v>
      </c>
      <c r="F732" t="s">
        <v>118</v>
      </c>
      <c r="G732" t="s">
        <v>12</v>
      </c>
    </row>
    <row r="733" spans="1:7" x14ac:dyDescent="0.3">
      <c r="A733" s="1">
        <v>46169</v>
      </c>
      <c r="B733" t="s">
        <v>7</v>
      </c>
      <c r="C733" t="s">
        <v>8</v>
      </c>
      <c r="D733" t="s">
        <v>22</v>
      </c>
      <c r="E733" t="s">
        <v>18</v>
      </c>
      <c r="F733" t="s">
        <v>118</v>
      </c>
      <c r="G733" t="s">
        <v>12</v>
      </c>
    </row>
    <row r="734" spans="1:7" x14ac:dyDescent="0.3">
      <c r="A734" s="1">
        <v>46169</v>
      </c>
      <c r="B734" t="s">
        <v>7</v>
      </c>
      <c r="C734" t="s">
        <v>13</v>
      </c>
      <c r="D734" t="s">
        <v>82</v>
      </c>
      <c r="E734" t="s">
        <v>18</v>
      </c>
      <c r="F734" t="s">
        <v>118</v>
      </c>
      <c r="G734" t="s">
        <v>12</v>
      </c>
    </row>
    <row r="735" spans="1:7" x14ac:dyDescent="0.3">
      <c r="A735" s="1">
        <v>46169</v>
      </c>
      <c r="B735" t="s">
        <v>46</v>
      </c>
      <c r="C735" t="s">
        <v>157</v>
      </c>
      <c r="D735" t="s">
        <v>158</v>
      </c>
      <c r="E735" t="s">
        <v>10</v>
      </c>
      <c r="F735" t="s">
        <v>118</v>
      </c>
      <c r="G735" t="s">
        <v>12</v>
      </c>
    </row>
    <row r="736" spans="1:7" x14ac:dyDescent="0.3">
      <c r="A736" s="1">
        <v>46169</v>
      </c>
      <c r="B736" t="s">
        <v>7</v>
      </c>
      <c r="C736" t="s">
        <v>19</v>
      </c>
      <c r="D736" t="s">
        <v>19</v>
      </c>
      <c r="E736" t="s">
        <v>18</v>
      </c>
      <c r="F736" t="s">
        <v>118</v>
      </c>
      <c r="G736" t="s">
        <v>16</v>
      </c>
    </row>
    <row r="737" spans="1:7" x14ac:dyDescent="0.3">
      <c r="A737" s="1">
        <v>46169</v>
      </c>
      <c r="B737" t="s">
        <v>7</v>
      </c>
      <c r="C737" t="s">
        <v>7</v>
      </c>
      <c r="D737" t="s">
        <v>86</v>
      </c>
      <c r="E737" t="s">
        <v>10</v>
      </c>
      <c r="F737" t="s">
        <v>118</v>
      </c>
      <c r="G737" t="s">
        <v>16</v>
      </c>
    </row>
    <row r="738" spans="1:7" x14ac:dyDescent="0.3">
      <c r="A738" s="1">
        <v>46169</v>
      </c>
      <c r="B738" t="s">
        <v>7</v>
      </c>
      <c r="C738" t="s">
        <v>26</v>
      </c>
      <c r="D738" t="s">
        <v>101</v>
      </c>
      <c r="E738" t="s">
        <v>10</v>
      </c>
      <c r="F738" t="s">
        <v>118</v>
      </c>
      <c r="G738" t="s">
        <v>16</v>
      </c>
    </row>
    <row r="739" spans="1:7" x14ac:dyDescent="0.3">
      <c r="A739" s="1">
        <v>46169</v>
      </c>
      <c r="B739" t="s">
        <v>7</v>
      </c>
      <c r="C739" t="s">
        <v>8</v>
      </c>
      <c r="D739" t="s">
        <v>89</v>
      </c>
      <c r="E739" t="s">
        <v>18</v>
      </c>
      <c r="F739" t="s">
        <v>118</v>
      </c>
      <c r="G739" t="s">
        <v>16</v>
      </c>
    </row>
    <row r="740" spans="1:7" x14ac:dyDescent="0.3">
      <c r="A740" s="1">
        <v>46169</v>
      </c>
      <c r="B740" t="s">
        <v>7</v>
      </c>
      <c r="C740" t="s">
        <v>8</v>
      </c>
      <c r="D740" t="s">
        <v>17</v>
      </c>
      <c r="E740" t="s">
        <v>18</v>
      </c>
      <c r="F740" t="s">
        <v>118</v>
      </c>
      <c r="G740" t="s">
        <v>12</v>
      </c>
    </row>
    <row r="741" spans="1:7" x14ac:dyDescent="0.3">
      <c r="A741" s="1">
        <v>46169</v>
      </c>
      <c r="B741" t="s">
        <v>29</v>
      </c>
      <c r="C741" t="s">
        <v>79</v>
      </c>
      <c r="D741" t="s">
        <v>81</v>
      </c>
      <c r="E741" t="s">
        <v>10</v>
      </c>
      <c r="F741" t="s">
        <v>118</v>
      </c>
      <c r="G741" t="s">
        <v>12</v>
      </c>
    </row>
    <row r="742" spans="1:7" x14ac:dyDescent="0.3">
      <c r="A742" s="1">
        <v>46169</v>
      </c>
      <c r="B742" t="s">
        <v>46</v>
      </c>
      <c r="C742" t="s">
        <v>46</v>
      </c>
      <c r="D742" t="s">
        <v>46</v>
      </c>
      <c r="E742" t="s">
        <v>10</v>
      </c>
      <c r="F742" t="s">
        <v>118</v>
      </c>
      <c r="G742" t="s">
        <v>12</v>
      </c>
    </row>
    <row r="743" spans="1:7" x14ac:dyDescent="0.3">
      <c r="A743" s="1">
        <v>46169</v>
      </c>
      <c r="B743" t="s">
        <v>7</v>
      </c>
      <c r="C743" t="s">
        <v>13</v>
      </c>
      <c r="D743" t="s">
        <v>100</v>
      </c>
      <c r="E743" t="s">
        <v>10</v>
      </c>
      <c r="F743" t="s">
        <v>118</v>
      </c>
      <c r="G743" t="s">
        <v>12</v>
      </c>
    </row>
    <row r="744" spans="1:7" x14ac:dyDescent="0.3">
      <c r="A744" s="1">
        <v>46169</v>
      </c>
      <c r="B744" t="s">
        <v>7</v>
      </c>
      <c r="C744" t="s">
        <v>8</v>
      </c>
      <c r="D744" t="s">
        <v>24</v>
      </c>
      <c r="E744" t="s">
        <v>18</v>
      </c>
      <c r="F744" t="s">
        <v>118</v>
      </c>
      <c r="G744" t="s">
        <v>12</v>
      </c>
    </row>
    <row r="745" spans="1:7" x14ac:dyDescent="0.3">
      <c r="A745" s="1">
        <v>46169</v>
      </c>
      <c r="B745" t="s">
        <v>7</v>
      </c>
      <c r="C745" t="s">
        <v>8</v>
      </c>
      <c r="D745" t="s">
        <v>17</v>
      </c>
      <c r="E745" t="s">
        <v>10</v>
      </c>
      <c r="F745" t="s">
        <v>118</v>
      </c>
      <c r="G745" t="s">
        <v>16</v>
      </c>
    </row>
    <row r="746" spans="1:7" x14ac:dyDescent="0.3">
      <c r="A746" s="1">
        <v>46169</v>
      </c>
      <c r="B746" t="s">
        <v>7</v>
      </c>
      <c r="C746" t="s">
        <v>8</v>
      </c>
      <c r="D746" t="s">
        <v>17</v>
      </c>
      <c r="E746" t="s">
        <v>18</v>
      </c>
      <c r="F746" t="s">
        <v>118</v>
      </c>
      <c r="G746" t="s">
        <v>16</v>
      </c>
    </row>
    <row r="747" spans="1:7" x14ac:dyDescent="0.3">
      <c r="A747" s="1">
        <v>46169</v>
      </c>
      <c r="B747" t="s">
        <v>7</v>
      </c>
      <c r="C747" t="s">
        <v>8</v>
      </c>
      <c r="D747" t="s">
        <v>22</v>
      </c>
      <c r="E747" t="s">
        <v>10</v>
      </c>
      <c r="F747" t="s">
        <v>118</v>
      </c>
      <c r="G747" t="s">
        <v>12</v>
      </c>
    </row>
    <row r="748" spans="1:7" x14ac:dyDescent="0.3">
      <c r="A748" s="1">
        <v>46169</v>
      </c>
      <c r="B748" t="s">
        <v>7</v>
      </c>
      <c r="C748" t="s">
        <v>8</v>
      </c>
      <c r="D748" t="s">
        <v>34</v>
      </c>
      <c r="E748" t="s">
        <v>18</v>
      </c>
      <c r="F748" t="s">
        <v>118</v>
      </c>
      <c r="G748" t="s">
        <v>16</v>
      </c>
    </row>
    <row r="749" spans="1:7" x14ac:dyDescent="0.3">
      <c r="A749" s="1">
        <v>46169</v>
      </c>
      <c r="B749" t="s">
        <v>7</v>
      </c>
      <c r="C749" t="s">
        <v>8</v>
      </c>
      <c r="D749" t="s">
        <v>8</v>
      </c>
      <c r="E749" t="s">
        <v>18</v>
      </c>
      <c r="F749" t="s">
        <v>118</v>
      </c>
      <c r="G749" t="s">
        <v>12</v>
      </c>
    </row>
    <row r="750" spans="1:7" x14ac:dyDescent="0.3">
      <c r="A750" s="1">
        <v>46169</v>
      </c>
      <c r="B750" t="s">
        <v>7</v>
      </c>
      <c r="C750" t="s">
        <v>8</v>
      </c>
      <c r="D750" t="s">
        <v>22</v>
      </c>
      <c r="E750" t="s">
        <v>133</v>
      </c>
      <c r="F750" t="s">
        <v>118</v>
      </c>
      <c r="G750" t="s">
        <v>16</v>
      </c>
    </row>
    <row r="751" spans="1:7" x14ac:dyDescent="0.3">
      <c r="A751" s="1">
        <v>46169</v>
      </c>
      <c r="B751" t="s">
        <v>7</v>
      </c>
      <c r="C751" t="s">
        <v>8</v>
      </c>
      <c r="D751" t="s">
        <v>89</v>
      </c>
      <c r="E751" t="s">
        <v>10</v>
      </c>
      <c r="F751" t="s">
        <v>118</v>
      </c>
      <c r="G751" t="s">
        <v>12</v>
      </c>
    </row>
    <row r="752" spans="1:7" x14ac:dyDescent="0.3">
      <c r="A752" s="1">
        <v>46169</v>
      </c>
      <c r="B752" t="s">
        <v>7</v>
      </c>
      <c r="C752" t="s">
        <v>8</v>
      </c>
      <c r="D752" t="s">
        <v>22</v>
      </c>
      <c r="E752" t="s">
        <v>10</v>
      </c>
      <c r="F752" t="s">
        <v>118</v>
      </c>
      <c r="G752" t="s">
        <v>12</v>
      </c>
    </row>
    <row r="753" spans="1:7" x14ac:dyDescent="0.3">
      <c r="A753" s="1">
        <v>46169</v>
      </c>
      <c r="B753" t="s">
        <v>7</v>
      </c>
      <c r="C753" t="s">
        <v>8</v>
      </c>
      <c r="D753" t="s">
        <v>22</v>
      </c>
      <c r="E753" t="s">
        <v>18</v>
      </c>
      <c r="F753" t="s">
        <v>118</v>
      </c>
      <c r="G753" t="s">
        <v>16</v>
      </c>
    </row>
    <row r="754" spans="1:7" x14ac:dyDescent="0.3">
      <c r="A754" s="1">
        <v>46169</v>
      </c>
      <c r="B754" t="s">
        <v>7</v>
      </c>
      <c r="C754" t="s">
        <v>26</v>
      </c>
      <c r="D754" t="s">
        <v>26</v>
      </c>
      <c r="E754" t="s">
        <v>18</v>
      </c>
      <c r="F754" t="s">
        <v>118</v>
      </c>
      <c r="G754" t="s">
        <v>12</v>
      </c>
    </row>
    <row r="755" spans="1:7" x14ac:dyDescent="0.3">
      <c r="A755" s="1">
        <v>46169</v>
      </c>
      <c r="B755" t="s">
        <v>7</v>
      </c>
      <c r="C755" t="s">
        <v>8</v>
      </c>
      <c r="D755" t="s">
        <v>8</v>
      </c>
      <c r="E755" t="s">
        <v>18</v>
      </c>
      <c r="F755" t="s">
        <v>118</v>
      </c>
      <c r="G755" t="s">
        <v>12</v>
      </c>
    </row>
    <row r="756" spans="1:7" x14ac:dyDescent="0.3">
      <c r="A756" s="1">
        <v>46169</v>
      </c>
      <c r="B756" t="s">
        <v>7</v>
      </c>
      <c r="C756" t="s">
        <v>8</v>
      </c>
      <c r="D756" t="s">
        <v>17</v>
      </c>
      <c r="E756" t="s">
        <v>10</v>
      </c>
      <c r="F756" t="s">
        <v>118</v>
      </c>
      <c r="G756" t="s">
        <v>12</v>
      </c>
    </row>
    <row r="757" spans="1:7" x14ac:dyDescent="0.3">
      <c r="A757" s="1">
        <v>46169</v>
      </c>
      <c r="B757" t="s">
        <v>7</v>
      </c>
      <c r="C757" t="s">
        <v>8</v>
      </c>
      <c r="D757" t="s">
        <v>22</v>
      </c>
      <c r="E757" t="s">
        <v>18</v>
      </c>
      <c r="F757" t="s">
        <v>118</v>
      </c>
      <c r="G757" t="s">
        <v>16</v>
      </c>
    </row>
    <row r="758" spans="1:7" x14ac:dyDescent="0.3">
      <c r="A758" s="1">
        <v>46169</v>
      </c>
      <c r="B758" t="s">
        <v>7</v>
      </c>
      <c r="C758" t="s">
        <v>8</v>
      </c>
      <c r="D758" t="s">
        <v>17</v>
      </c>
      <c r="E758" t="s">
        <v>18</v>
      </c>
      <c r="F758" t="s">
        <v>118</v>
      </c>
      <c r="G758" t="s">
        <v>12</v>
      </c>
    </row>
    <row r="759" spans="1:7" x14ac:dyDescent="0.3">
      <c r="A759" s="1">
        <v>46169</v>
      </c>
      <c r="B759" t="s">
        <v>7</v>
      </c>
      <c r="C759" t="s">
        <v>56</v>
      </c>
      <c r="D759" t="s">
        <v>189</v>
      </c>
      <c r="E759" t="s">
        <v>18</v>
      </c>
      <c r="F759" t="s">
        <v>190</v>
      </c>
      <c r="G759" t="s">
        <v>12</v>
      </c>
    </row>
    <row r="760" spans="1:7" x14ac:dyDescent="0.3">
      <c r="A760" s="1">
        <v>46169</v>
      </c>
      <c r="B760" t="s">
        <v>7</v>
      </c>
      <c r="C760" t="s">
        <v>13</v>
      </c>
      <c r="D760" t="s">
        <v>67</v>
      </c>
      <c r="E760" t="s">
        <v>10</v>
      </c>
      <c r="F760" t="s">
        <v>190</v>
      </c>
      <c r="G760" t="s">
        <v>12</v>
      </c>
    </row>
    <row r="761" spans="1:7" x14ac:dyDescent="0.3">
      <c r="A761" s="1">
        <v>46169</v>
      </c>
      <c r="B761" t="s">
        <v>7</v>
      </c>
      <c r="C761" t="s">
        <v>61</v>
      </c>
      <c r="D761" t="s">
        <v>61</v>
      </c>
      <c r="E761" t="s">
        <v>10</v>
      </c>
      <c r="F761" t="s">
        <v>190</v>
      </c>
      <c r="G761" t="s">
        <v>12</v>
      </c>
    </row>
    <row r="762" spans="1:7" x14ac:dyDescent="0.3">
      <c r="A762" s="1">
        <v>46169</v>
      </c>
      <c r="B762" t="s">
        <v>7</v>
      </c>
      <c r="C762" t="s">
        <v>8</v>
      </c>
      <c r="D762" t="s">
        <v>89</v>
      </c>
      <c r="E762" t="s">
        <v>18</v>
      </c>
      <c r="F762" t="s">
        <v>190</v>
      </c>
      <c r="G762" t="s">
        <v>12</v>
      </c>
    </row>
    <row r="763" spans="1:7" x14ac:dyDescent="0.3">
      <c r="A763" s="1">
        <v>46169</v>
      </c>
      <c r="B763" t="s">
        <v>7</v>
      </c>
      <c r="C763" t="s">
        <v>61</v>
      </c>
      <c r="D763" t="s">
        <v>64</v>
      </c>
      <c r="E763" t="s">
        <v>10</v>
      </c>
      <c r="F763" t="s">
        <v>190</v>
      </c>
      <c r="G763" t="s">
        <v>16</v>
      </c>
    </row>
    <row r="764" spans="1:7" x14ac:dyDescent="0.3">
      <c r="A764" s="1">
        <v>46169</v>
      </c>
      <c r="B764" t="s">
        <v>7</v>
      </c>
      <c r="C764" t="s">
        <v>61</v>
      </c>
      <c r="D764" t="s">
        <v>61</v>
      </c>
      <c r="E764" t="s">
        <v>10</v>
      </c>
      <c r="F764" t="s">
        <v>190</v>
      </c>
      <c r="G764" t="s">
        <v>16</v>
      </c>
    </row>
    <row r="765" spans="1:7" x14ac:dyDescent="0.3">
      <c r="A765" s="1">
        <v>46169</v>
      </c>
      <c r="B765" t="s">
        <v>7</v>
      </c>
      <c r="C765" t="s">
        <v>61</v>
      </c>
      <c r="D765" t="s">
        <v>61</v>
      </c>
      <c r="E765" t="s">
        <v>10</v>
      </c>
      <c r="F765" t="s">
        <v>191</v>
      </c>
      <c r="G765" t="s">
        <v>12</v>
      </c>
    </row>
    <row r="766" spans="1:7" x14ac:dyDescent="0.3">
      <c r="A766" s="1">
        <v>46169</v>
      </c>
      <c r="B766" t="s">
        <v>7</v>
      </c>
      <c r="C766" t="s">
        <v>8</v>
      </c>
      <c r="D766" t="s">
        <v>71</v>
      </c>
      <c r="E766" t="s">
        <v>10</v>
      </c>
      <c r="F766" t="s">
        <v>191</v>
      </c>
      <c r="G766" t="s">
        <v>16</v>
      </c>
    </row>
    <row r="767" spans="1:7" x14ac:dyDescent="0.3">
      <c r="A767" s="1">
        <v>46169</v>
      </c>
      <c r="B767" t="s">
        <v>7</v>
      </c>
      <c r="C767" t="s">
        <v>8</v>
      </c>
      <c r="D767" t="s">
        <v>89</v>
      </c>
      <c r="E767" t="s">
        <v>18</v>
      </c>
      <c r="F767" t="s">
        <v>192</v>
      </c>
      <c r="G767" t="s">
        <v>12</v>
      </c>
    </row>
    <row r="768" spans="1:7" x14ac:dyDescent="0.3">
      <c r="A768" s="1">
        <v>46169</v>
      </c>
      <c r="B768" t="s">
        <v>7</v>
      </c>
      <c r="C768" t="s">
        <v>8</v>
      </c>
      <c r="D768" t="s">
        <v>9</v>
      </c>
      <c r="E768" t="s">
        <v>18</v>
      </c>
      <c r="F768" t="s">
        <v>192</v>
      </c>
      <c r="G768" t="s">
        <v>12</v>
      </c>
    </row>
    <row r="769" spans="1:7" x14ac:dyDescent="0.3">
      <c r="A769" s="1">
        <v>46169</v>
      </c>
      <c r="B769" t="s">
        <v>7</v>
      </c>
      <c r="C769" t="s">
        <v>8</v>
      </c>
      <c r="D769" t="s">
        <v>22</v>
      </c>
      <c r="E769" t="s">
        <v>18</v>
      </c>
      <c r="F769" t="s">
        <v>192</v>
      </c>
      <c r="G769" t="s">
        <v>16</v>
      </c>
    </row>
    <row r="770" spans="1:7" x14ac:dyDescent="0.3">
      <c r="A770" s="1">
        <v>46169</v>
      </c>
      <c r="B770" t="s">
        <v>46</v>
      </c>
      <c r="C770" t="s">
        <v>46</v>
      </c>
      <c r="D770" t="s">
        <v>193</v>
      </c>
      <c r="E770" t="s">
        <v>18</v>
      </c>
      <c r="F770" t="s">
        <v>192</v>
      </c>
      <c r="G770" t="s">
        <v>16</v>
      </c>
    </row>
    <row r="771" spans="1:7" x14ac:dyDescent="0.3">
      <c r="A771" s="1">
        <v>46169</v>
      </c>
      <c r="B771" t="s">
        <v>7</v>
      </c>
      <c r="C771" t="s">
        <v>8</v>
      </c>
      <c r="D771" t="s">
        <v>89</v>
      </c>
      <c r="E771" t="s">
        <v>18</v>
      </c>
      <c r="F771" t="s">
        <v>192</v>
      </c>
      <c r="G771" t="s">
        <v>12</v>
      </c>
    </row>
    <row r="772" spans="1:7" x14ac:dyDescent="0.3">
      <c r="A772" s="1">
        <v>46169</v>
      </c>
      <c r="B772" t="s">
        <v>7</v>
      </c>
      <c r="C772" t="s">
        <v>8</v>
      </c>
      <c r="D772" t="s">
        <v>17</v>
      </c>
      <c r="E772" t="s">
        <v>18</v>
      </c>
      <c r="F772" t="s">
        <v>192</v>
      </c>
      <c r="G772" t="s">
        <v>16</v>
      </c>
    </row>
    <row r="773" spans="1:7" x14ac:dyDescent="0.3">
      <c r="A773" s="1">
        <v>46169</v>
      </c>
      <c r="B773" t="s">
        <v>7</v>
      </c>
      <c r="C773" t="s">
        <v>8</v>
      </c>
      <c r="D773" t="s">
        <v>8</v>
      </c>
      <c r="E773" t="s">
        <v>10</v>
      </c>
      <c r="F773" t="s">
        <v>192</v>
      </c>
      <c r="G773" t="s">
        <v>12</v>
      </c>
    </row>
    <row r="774" spans="1:7" x14ac:dyDescent="0.3">
      <c r="A774" s="1">
        <v>46169</v>
      </c>
      <c r="B774" t="s">
        <v>7</v>
      </c>
      <c r="C774" t="s">
        <v>13</v>
      </c>
      <c r="D774" t="s">
        <v>78</v>
      </c>
      <c r="E774" t="s">
        <v>10</v>
      </c>
      <c r="F774" t="s">
        <v>192</v>
      </c>
      <c r="G774" t="s">
        <v>16</v>
      </c>
    </row>
    <row r="775" spans="1:7" x14ac:dyDescent="0.3">
      <c r="A775" s="1">
        <v>46169</v>
      </c>
      <c r="B775" t="s">
        <v>29</v>
      </c>
      <c r="C775" t="s">
        <v>64</v>
      </c>
      <c r="D775" t="s">
        <v>64</v>
      </c>
      <c r="E775" t="s">
        <v>18</v>
      </c>
      <c r="F775" t="s">
        <v>192</v>
      </c>
      <c r="G775" t="s">
        <v>16</v>
      </c>
    </row>
    <row r="776" spans="1:7" x14ac:dyDescent="0.3">
      <c r="A776" s="1">
        <v>46169</v>
      </c>
      <c r="B776" t="s">
        <v>7</v>
      </c>
      <c r="C776" t="s">
        <v>8</v>
      </c>
      <c r="D776" t="s">
        <v>17</v>
      </c>
      <c r="E776" t="s">
        <v>18</v>
      </c>
      <c r="F776" t="s">
        <v>192</v>
      </c>
      <c r="G776" t="s">
        <v>16</v>
      </c>
    </row>
    <row r="777" spans="1:7" x14ac:dyDescent="0.3">
      <c r="A777" s="1">
        <v>46169</v>
      </c>
      <c r="B777" t="s">
        <v>29</v>
      </c>
      <c r="C777" t="s">
        <v>79</v>
      </c>
      <c r="D777" t="s">
        <v>119</v>
      </c>
      <c r="E777" t="s">
        <v>18</v>
      </c>
      <c r="F777" t="s">
        <v>192</v>
      </c>
      <c r="G777" t="s">
        <v>16</v>
      </c>
    </row>
    <row r="778" spans="1:7" x14ac:dyDescent="0.3">
      <c r="A778" s="1">
        <v>46169</v>
      </c>
      <c r="B778" t="s">
        <v>7</v>
      </c>
      <c r="C778" t="s">
        <v>13</v>
      </c>
      <c r="D778" t="s">
        <v>82</v>
      </c>
      <c r="E778" t="s">
        <v>18</v>
      </c>
      <c r="F778" t="s">
        <v>192</v>
      </c>
      <c r="G778" t="s">
        <v>12</v>
      </c>
    </row>
    <row r="779" spans="1:7" x14ac:dyDescent="0.3">
      <c r="A779" s="1">
        <v>46169</v>
      </c>
      <c r="B779" t="s">
        <v>7</v>
      </c>
      <c r="C779" t="s">
        <v>26</v>
      </c>
      <c r="D779" t="s">
        <v>26</v>
      </c>
      <c r="E779" t="s">
        <v>10</v>
      </c>
      <c r="F779" t="s">
        <v>192</v>
      </c>
      <c r="G779" t="s">
        <v>12</v>
      </c>
    </row>
    <row r="780" spans="1:7" x14ac:dyDescent="0.3">
      <c r="A780" s="1">
        <v>46169</v>
      </c>
      <c r="B780" t="s">
        <v>7</v>
      </c>
      <c r="C780" t="s">
        <v>8</v>
      </c>
      <c r="D780" t="s">
        <v>22</v>
      </c>
      <c r="E780" t="s">
        <v>10</v>
      </c>
      <c r="F780" t="s">
        <v>192</v>
      </c>
      <c r="G780" t="s">
        <v>12</v>
      </c>
    </row>
    <row r="781" spans="1:7" x14ac:dyDescent="0.3">
      <c r="A781" s="1">
        <v>46169</v>
      </c>
      <c r="B781" t="s">
        <v>7</v>
      </c>
      <c r="C781" t="s">
        <v>62</v>
      </c>
      <c r="D781" t="s">
        <v>145</v>
      </c>
      <c r="E781" t="s">
        <v>18</v>
      </c>
      <c r="F781" t="s">
        <v>194</v>
      </c>
      <c r="G781" t="s">
        <v>16</v>
      </c>
    </row>
    <row r="782" spans="1:7" x14ac:dyDescent="0.3">
      <c r="A782" s="1">
        <v>46169</v>
      </c>
      <c r="B782" t="s">
        <v>7</v>
      </c>
      <c r="C782" t="s">
        <v>62</v>
      </c>
      <c r="D782" t="s">
        <v>62</v>
      </c>
      <c r="E782" t="s">
        <v>10</v>
      </c>
      <c r="F782" t="s">
        <v>194</v>
      </c>
      <c r="G782" t="s">
        <v>16</v>
      </c>
    </row>
    <row r="783" spans="1:7" x14ac:dyDescent="0.3">
      <c r="A783" s="1">
        <v>46169</v>
      </c>
      <c r="B783" t="s">
        <v>7</v>
      </c>
      <c r="C783" t="s">
        <v>62</v>
      </c>
      <c r="D783" t="s">
        <v>63</v>
      </c>
      <c r="E783" t="s">
        <v>10</v>
      </c>
      <c r="F783" t="s">
        <v>194</v>
      </c>
      <c r="G783" t="s">
        <v>16</v>
      </c>
    </row>
    <row r="784" spans="1:7" x14ac:dyDescent="0.3">
      <c r="A784" s="1">
        <v>46169</v>
      </c>
      <c r="B784" t="s">
        <v>7</v>
      </c>
      <c r="C784" t="s">
        <v>62</v>
      </c>
      <c r="D784" t="s">
        <v>145</v>
      </c>
      <c r="E784" t="s">
        <v>18</v>
      </c>
      <c r="F784" t="s">
        <v>194</v>
      </c>
      <c r="G784" t="s">
        <v>12</v>
      </c>
    </row>
    <row r="785" spans="1:7" x14ac:dyDescent="0.3">
      <c r="A785" s="1">
        <v>46169</v>
      </c>
      <c r="B785" t="s">
        <v>50</v>
      </c>
      <c r="C785" t="s">
        <v>51</v>
      </c>
      <c r="D785" t="s">
        <v>50</v>
      </c>
      <c r="E785" t="s">
        <v>18</v>
      </c>
      <c r="F785" t="s">
        <v>194</v>
      </c>
      <c r="G785" t="s">
        <v>12</v>
      </c>
    </row>
    <row r="786" spans="1:7" x14ac:dyDescent="0.3">
      <c r="A786" s="1">
        <v>46169</v>
      </c>
      <c r="B786" t="s">
        <v>7</v>
      </c>
      <c r="C786" t="s">
        <v>62</v>
      </c>
      <c r="D786" t="s">
        <v>62</v>
      </c>
      <c r="E786" t="s">
        <v>18</v>
      </c>
      <c r="F786" t="s">
        <v>194</v>
      </c>
      <c r="G786" t="s">
        <v>16</v>
      </c>
    </row>
    <row r="787" spans="1:7" x14ac:dyDescent="0.3">
      <c r="A787" s="1">
        <v>46169</v>
      </c>
      <c r="B787" t="s">
        <v>7</v>
      </c>
      <c r="C787" t="s">
        <v>62</v>
      </c>
      <c r="D787" t="s">
        <v>62</v>
      </c>
      <c r="E787" t="s">
        <v>18</v>
      </c>
      <c r="F787" t="s">
        <v>194</v>
      </c>
      <c r="G787" t="s">
        <v>16</v>
      </c>
    </row>
    <row r="788" spans="1:7" x14ac:dyDescent="0.3">
      <c r="A788" s="1">
        <v>46169</v>
      </c>
      <c r="B788" t="s">
        <v>7</v>
      </c>
      <c r="C788" t="s">
        <v>62</v>
      </c>
      <c r="D788" t="s">
        <v>62</v>
      </c>
      <c r="E788" t="s">
        <v>18</v>
      </c>
      <c r="F788" t="s">
        <v>194</v>
      </c>
      <c r="G788" t="s">
        <v>16</v>
      </c>
    </row>
    <row r="789" spans="1:7" x14ac:dyDescent="0.3">
      <c r="A789" s="1">
        <v>46169</v>
      </c>
      <c r="B789" t="s">
        <v>7</v>
      </c>
      <c r="C789" t="s">
        <v>62</v>
      </c>
      <c r="D789" t="s">
        <v>62</v>
      </c>
      <c r="E789" t="s">
        <v>18</v>
      </c>
      <c r="F789" t="s">
        <v>194</v>
      </c>
      <c r="G789" t="s">
        <v>16</v>
      </c>
    </row>
    <row r="790" spans="1:7" x14ac:dyDescent="0.3">
      <c r="A790" s="1">
        <v>46169</v>
      </c>
      <c r="B790" t="s">
        <v>7</v>
      </c>
      <c r="C790" t="s">
        <v>62</v>
      </c>
      <c r="D790" t="s">
        <v>62</v>
      </c>
      <c r="E790" t="s">
        <v>10</v>
      </c>
      <c r="F790" t="s">
        <v>194</v>
      </c>
      <c r="G790" t="s">
        <v>16</v>
      </c>
    </row>
    <row r="791" spans="1:7" x14ac:dyDescent="0.3">
      <c r="A791" s="1">
        <v>46169</v>
      </c>
      <c r="B791" t="s">
        <v>7</v>
      </c>
      <c r="C791" t="s">
        <v>62</v>
      </c>
      <c r="D791" t="s">
        <v>63</v>
      </c>
      <c r="E791" t="s">
        <v>18</v>
      </c>
      <c r="F791" t="s">
        <v>194</v>
      </c>
      <c r="G791" t="s">
        <v>16</v>
      </c>
    </row>
    <row r="792" spans="1:7" x14ac:dyDescent="0.3">
      <c r="A792" s="1">
        <v>46169</v>
      </c>
      <c r="B792" t="s">
        <v>7</v>
      </c>
      <c r="C792" t="s">
        <v>62</v>
      </c>
      <c r="D792" t="s">
        <v>62</v>
      </c>
      <c r="E792" t="s">
        <v>10</v>
      </c>
      <c r="F792" t="s">
        <v>194</v>
      </c>
      <c r="G792" t="s">
        <v>16</v>
      </c>
    </row>
    <row r="793" spans="1:7" x14ac:dyDescent="0.3">
      <c r="A793" s="1">
        <v>46169</v>
      </c>
      <c r="B793" t="s">
        <v>195</v>
      </c>
      <c r="C793" t="s">
        <v>195</v>
      </c>
      <c r="D793" t="s">
        <v>196</v>
      </c>
      <c r="E793" t="s">
        <v>10</v>
      </c>
      <c r="F793" t="s">
        <v>194</v>
      </c>
      <c r="G793" t="s">
        <v>16</v>
      </c>
    </row>
    <row r="794" spans="1:7" x14ac:dyDescent="0.3">
      <c r="A794" s="1">
        <v>46169</v>
      </c>
      <c r="B794" t="s">
        <v>7</v>
      </c>
      <c r="C794" t="s">
        <v>8</v>
      </c>
      <c r="D794" t="s">
        <v>17</v>
      </c>
      <c r="E794" t="s">
        <v>18</v>
      </c>
      <c r="F794" t="s">
        <v>197</v>
      </c>
      <c r="G794" t="s">
        <v>16</v>
      </c>
    </row>
    <row r="795" spans="1:7" x14ac:dyDescent="0.3">
      <c r="A795" s="1">
        <v>46169</v>
      </c>
      <c r="B795" t="s">
        <v>7</v>
      </c>
      <c r="C795" t="s">
        <v>8</v>
      </c>
      <c r="D795" t="s">
        <v>17</v>
      </c>
      <c r="E795" t="s">
        <v>18</v>
      </c>
      <c r="F795" t="s">
        <v>197</v>
      </c>
      <c r="G795" t="s">
        <v>12</v>
      </c>
    </row>
    <row r="796" spans="1:7" x14ac:dyDescent="0.3">
      <c r="A796" s="1">
        <v>46169</v>
      </c>
      <c r="B796" t="s">
        <v>29</v>
      </c>
      <c r="C796" t="s">
        <v>29</v>
      </c>
      <c r="D796" t="s">
        <v>32</v>
      </c>
      <c r="E796" t="s">
        <v>18</v>
      </c>
      <c r="F796" t="s">
        <v>197</v>
      </c>
      <c r="G796" t="s">
        <v>12</v>
      </c>
    </row>
    <row r="797" spans="1:7" x14ac:dyDescent="0.3">
      <c r="A797" s="1">
        <v>46169</v>
      </c>
      <c r="B797" t="s">
        <v>7</v>
      </c>
      <c r="C797" t="s">
        <v>8</v>
      </c>
      <c r="D797" t="s">
        <v>17</v>
      </c>
      <c r="E797" t="s">
        <v>18</v>
      </c>
      <c r="F797" t="s">
        <v>197</v>
      </c>
      <c r="G797" t="s">
        <v>12</v>
      </c>
    </row>
    <row r="798" spans="1:7" x14ac:dyDescent="0.3">
      <c r="A798" s="1">
        <v>46169</v>
      </c>
      <c r="B798" t="s">
        <v>7</v>
      </c>
      <c r="C798" t="s">
        <v>19</v>
      </c>
      <c r="D798" t="s">
        <v>19</v>
      </c>
      <c r="E798" t="s">
        <v>18</v>
      </c>
      <c r="F798" t="s">
        <v>197</v>
      </c>
      <c r="G798" t="s">
        <v>16</v>
      </c>
    </row>
    <row r="799" spans="1:7" x14ac:dyDescent="0.3">
      <c r="A799" s="1">
        <v>46169</v>
      </c>
      <c r="B799" t="s">
        <v>7</v>
      </c>
      <c r="C799" t="s">
        <v>7</v>
      </c>
      <c r="D799" t="s">
        <v>7</v>
      </c>
      <c r="E799" t="s">
        <v>18</v>
      </c>
      <c r="F799" t="s">
        <v>197</v>
      </c>
      <c r="G799" t="s">
        <v>16</v>
      </c>
    </row>
    <row r="800" spans="1:7" x14ac:dyDescent="0.3">
      <c r="A800" s="1">
        <v>46169</v>
      </c>
      <c r="B800" t="s">
        <v>7</v>
      </c>
      <c r="C800" t="s">
        <v>13</v>
      </c>
      <c r="D800" t="s">
        <v>198</v>
      </c>
      <c r="E800" t="s">
        <v>10</v>
      </c>
      <c r="F800" t="s">
        <v>197</v>
      </c>
      <c r="G800" t="s">
        <v>12</v>
      </c>
    </row>
    <row r="801" spans="1:7" x14ac:dyDescent="0.3">
      <c r="A801" s="1">
        <v>46169</v>
      </c>
      <c r="B801" t="s">
        <v>7</v>
      </c>
      <c r="C801" t="s">
        <v>8</v>
      </c>
      <c r="D801" t="s">
        <v>24</v>
      </c>
      <c r="E801" t="s">
        <v>18</v>
      </c>
      <c r="F801" t="s">
        <v>197</v>
      </c>
      <c r="G801" t="s">
        <v>16</v>
      </c>
    </row>
    <row r="802" spans="1:7" x14ac:dyDescent="0.3">
      <c r="A802" s="1">
        <v>46169</v>
      </c>
      <c r="B802" t="s">
        <v>7</v>
      </c>
      <c r="C802" t="s">
        <v>8</v>
      </c>
      <c r="D802" t="s">
        <v>22</v>
      </c>
      <c r="E802" t="s">
        <v>18</v>
      </c>
      <c r="F802" t="s">
        <v>197</v>
      </c>
      <c r="G802" t="s">
        <v>12</v>
      </c>
    </row>
    <row r="803" spans="1:7" x14ac:dyDescent="0.3">
      <c r="A803" s="1">
        <v>46169</v>
      </c>
      <c r="B803" t="s">
        <v>7</v>
      </c>
      <c r="C803" t="s">
        <v>8</v>
      </c>
      <c r="D803" t="s">
        <v>24</v>
      </c>
      <c r="E803" t="s">
        <v>18</v>
      </c>
      <c r="F803" t="s">
        <v>197</v>
      </c>
      <c r="G803" t="s">
        <v>12</v>
      </c>
    </row>
    <row r="804" spans="1:7" x14ac:dyDescent="0.3">
      <c r="A804" s="1">
        <v>46169</v>
      </c>
      <c r="B804" t="s">
        <v>7</v>
      </c>
      <c r="C804" t="s">
        <v>8</v>
      </c>
      <c r="D804" t="s">
        <v>9</v>
      </c>
      <c r="E804" t="s">
        <v>18</v>
      </c>
      <c r="F804" t="s">
        <v>197</v>
      </c>
      <c r="G804" t="s">
        <v>12</v>
      </c>
    </row>
    <row r="805" spans="1:7" x14ac:dyDescent="0.3">
      <c r="A805" s="1">
        <v>46169</v>
      </c>
      <c r="B805" t="s">
        <v>7</v>
      </c>
      <c r="C805" t="s">
        <v>8</v>
      </c>
      <c r="D805" t="s">
        <v>17</v>
      </c>
      <c r="E805" t="s">
        <v>18</v>
      </c>
      <c r="F805" t="s">
        <v>197</v>
      </c>
      <c r="G805" t="s">
        <v>16</v>
      </c>
    </row>
    <row r="806" spans="1:7" x14ac:dyDescent="0.3">
      <c r="A806" s="1">
        <v>46169</v>
      </c>
      <c r="B806" t="s">
        <v>7</v>
      </c>
      <c r="C806" t="s">
        <v>8</v>
      </c>
      <c r="D806" t="s">
        <v>17</v>
      </c>
      <c r="E806" t="s">
        <v>18</v>
      </c>
      <c r="F806" t="s">
        <v>197</v>
      </c>
      <c r="G806" t="s">
        <v>12</v>
      </c>
    </row>
    <row r="807" spans="1:7" x14ac:dyDescent="0.3">
      <c r="A807" s="1">
        <v>46169</v>
      </c>
      <c r="B807" t="s">
        <v>7</v>
      </c>
      <c r="C807" t="s">
        <v>8</v>
      </c>
      <c r="D807" t="s">
        <v>23</v>
      </c>
      <c r="E807" t="s">
        <v>18</v>
      </c>
      <c r="F807" t="s">
        <v>197</v>
      </c>
      <c r="G807" t="s">
        <v>16</v>
      </c>
    </row>
    <row r="808" spans="1:7" x14ac:dyDescent="0.3">
      <c r="A808" s="1">
        <v>46169</v>
      </c>
      <c r="B808" t="s">
        <v>7</v>
      </c>
      <c r="C808" t="s">
        <v>8</v>
      </c>
      <c r="D808" t="s">
        <v>22</v>
      </c>
      <c r="E808" t="s">
        <v>18</v>
      </c>
      <c r="F808" t="s">
        <v>33</v>
      </c>
      <c r="G808" t="s">
        <v>16</v>
      </c>
    </row>
    <row r="809" spans="1:7" x14ac:dyDescent="0.3">
      <c r="A809" s="1">
        <v>46169</v>
      </c>
      <c r="B809" t="s">
        <v>7</v>
      </c>
      <c r="C809" t="s">
        <v>8</v>
      </c>
      <c r="D809" t="s">
        <v>25</v>
      </c>
      <c r="E809" t="s">
        <v>18</v>
      </c>
      <c r="F809" t="s">
        <v>197</v>
      </c>
      <c r="G809" t="s">
        <v>12</v>
      </c>
    </row>
    <row r="810" spans="1:7" x14ac:dyDescent="0.3">
      <c r="A810" s="1">
        <v>46169</v>
      </c>
      <c r="B810" t="s">
        <v>7</v>
      </c>
      <c r="C810" t="s">
        <v>19</v>
      </c>
      <c r="D810" t="s">
        <v>85</v>
      </c>
      <c r="E810" t="s">
        <v>18</v>
      </c>
      <c r="F810" t="s">
        <v>197</v>
      </c>
      <c r="G810" t="s">
        <v>12</v>
      </c>
    </row>
    <row r="811" spans="1:7" x14ac:dyDescent="0.3">
      <c r="A811" s="1">
        <v>46169</v>
      </c>
      <c r="B811" t="s">
        <v>7</v>
      </c>
      <c r="C811" t="s">
        <v>19</v>
      </c>
      <c r="D811" t="s">
        <v>164</v>
      </c>
      <c r="E811" t="s">
        <v>18</v>
      </c>
      <c r="F811" t="s">
        <v>197</v>
      </c>
      <c r="G811" t="s">
        <v>12</v>
      </c>
    </row>
    <row r="812" spans="1:7" x14ac:dyDescent="0.3">
      <c r="A812" s="1">
        <v>46169</v>
      </c>
      <c r="B812" t="s">
        <v>7</v>
      </c>
      <c r="C812" t="s">
        <v>26</v>
      </c>
      <c r="D812" t="s">
        <v>103</v>
      </c>
      <c r="E812" t="s">
        <v>10</v>
      </c>
      <c r="F812" t="s">
        <v>199</v>
      </c>
      <c r="G812" t="s">
        <v>12</v>
      </c>
    </row>
    <row r="813" spans="1:7" x14ac:dyDescent="0.3">
      <c r="A813" s="1">
        <v>46169</v>
      </c>
      <c r="B813" t="s">
        <v>129</v>
      </c>
      <c r="C813" t="s">
        <v>130</v>
      </c>
      <c r="D813" t="s">
        <v>200</v>
      </c>
      <c r="E813" t="s">
        <v>18</v>
      </c>
      <c r="F813" t="s">
        <v>199</v>
      </c>
      <c r="G813" t="s">
        <v>12</v>
      </c>
    </row>
    <row r="814" spans="1:7" x14ac:dyDescent="0.3">
      <c r="A814" s="1">
        <v>46169</v>
      </c>
      <c r="B814" t="s">
        <v>29</v>
      </c>
      <c r="C814" t="s">
        <v>79</v>
      </c>
      <c r="D814" t="s">
        <v>79</v>
      </c>
      <c r="E814" t="s">
        <v>10</v>
      </c>
      <c r="F814" t="s">
        <v>199</v>
      </c>
      <c r="G814" t="s">
        <v>12</v>
      </c>
    </row>
    <row r="815" spans="1:7" x14ac:dyDescent="0.3">
      <c r="A815" s="1">
        <v>46169</v>
      </c>
      <c r="B815" t="s">
        <v>7</v>
      </c>
      <c r="C815" t="s">
        <v>8</v>
      </c>
      <c r="D815" t="s">
        <v>36</v>
      </c>
      <c r="E815" t="s">
        <v>43</v>
      </c>
      <c r="F815" t="s">
        <v>199</v>
      </c>
      <c r="G815" t="s">
        <v>12</v>
      </c>
    </row>
    <row r="816" spans="1:7" x14ac:dyDescent="0.3">
      <c r="A816" s="1">
        <v>46169</v>
      </c>
      <c r="B816" t="s">
        <v>7</v>
      </c>
      <c r="C816" t="s">
        <v>8</v>
      </c>
      <c r="D816" t="s">
        <v>8</v>
      </c>
      <c r="E816" t="s">
        <v>10</v>
      </c>
      <c r="F816" t="s">
        <v>199</v>
      </c>
      <c r="G816" t="s">
        <v>16</v>
      </c>
    </row>
    <row r="817" spans="1:7" x14ac:dyDescent="0.3">
      <c r="A817" s="1">
        <v>46169</v>
      </c>
      <c r="B817" t="s">
        <v>7</v>
      </c>
      <c r="C817" t="s">
        <v>8</v>
      </c>
      <c r="D817" t="s">
        <v>22</v>
      </c>
      <c r="E817" t="s">
        <v>10</v>
      </c>
      <c r="F817" t="s">
        <v>199</v>
      </c>
      <c r="G817" t="s">
        <v>12</v>
      </c>
    </row>
    <row r="818" spans="1:7" x14ac:dyDescent="0.3">
      <c r="A818" s="1">
        <v>46169</v>
      </c>
      <c r="B818" t="s">
        <v>7</v>
      </c>
      <c r="C818" t="s">
        <v>8</v>
      </c>
      <c r="D818" t="s">
        <v>17</v>
      </c>
      <c r="E818" t="s">
        <v>18</v>
      </c>
      <c r="F818" t="s">
        <v>199</v>
      </c>
      <c r="G818" t="s">
        <v>16</v>
      </c>
    </row>
    <row r="819" spans="1:7" x14ac:dyDescent="0.3">
      <c r="A819" s="1">
        <v>46169</v>
      </c>
      <c r="B819" t="s">
        <v>50</v>
      </c>
      <c r="C819" t="s">
        <v>90</v>
      </c>
      <c r="D819" t="s">
        <v>201</v>
      </c>
      <c r="E819" t="s">
        <v>18</v>
      </c>
      <c r="F819" t="s">
        <v>199</v>
      </c>
      <c r="G819" t="s">
        <v>12</v>
      </c>
    </row>
    <row r="820" spans="1:7" x14ac:dyDescent="0.3">
      <c r="A820" s="1">
        <v>46169</v>
      </c>
      <c r="B820" t="s">
        <v>7</v>
      </c>
      <c r="C820" t="s">
        <v>8</v>
      </c>
      <c r="D820" t="s">
        <v>17</v>
      </c>
      <c r="E820" t="s">
        <v>18</v>
      </c>
      <c r="F820" t="s">
        <v>199</v>
      </c>
      <c r="G820" t="s">
        <v>12</v>
      </c>
    </row>
    <row r="821" spans="1:7" x14ac:dyDescent="0.3">
      <c r="A821" s="1">
        <v>46169</v>
      </c>
      <c r="B821" t="s">
        <v>7</v>
      </c>
      <c r="C821" t="s">
        <v>8</v>
      </c>
      <c r="D821" t="s">
        <v>8</v>
      </c>
      <c r="E821" t="s">
        <v>18</v>
      </c>
      <c r="F821" t="s">
        <v>199</v>
      </c>
      <c r="G821" t="s">
        <v>12</v>
      </c>
    </row>
    <row r="822" spans="1:7" x14ac:dyDescent="0.3">
      <c r="A822" s="1">
        <v>46169</v>
      </c>
      <c r="B822" t="s">
        <v>7</v>
      </c>
      <c r="C822" t="s">
        <v>8</v>
      </c>
      <c r="D822" t="s">
        <v>17</v>
      </c>
      <c r="E822" t="s">
        <v>18</v>
      </c>
      <c r="F822" t="s">
        <v>199</v>
      </c>
      <c r="G822" t="s">
        <v>12</v>
      </c>
    </row>
    <row r="823" spans="1:7" x14ac:dyDescent="0.3">
      <c r="A823" s="1">
        <v>46169</v>
      </c>
      <c r="B823" t="s">
        <v>7</v>
      </c>
      <c r="C823" t="s">
        <v>8</v>
      </c>
      <c r="D823" t="s">
        <v>24</v>
      </c>
      <c r="E823" t="s">
        <v>18</v>
      </c>
      <c r="F823" t="s">
        <v>199</v>
      </c>
      <c r="G823" t="s">
        <v>12</v>
      </c>
    </row>
    <row r="824" spans="1:7" x14ac:dyDescent="0.3">
      <c r="A824" s="1">
        <v>46169</v>
      </c>
      <c r="B824" t="s">
        <v>7</v>
      </c>
      <c r="C824" t="s">
        <v>8</v>
      </c>
      <c r="D824" t="s">
        <v>8</v>
      </c>
      <c r="E824" t="s">
        <v>10</v>
      </c>
      <c r="F824" t="s">
        <v>199</v>
      </c>
      <c r="G824" t="s">
        <v>16</v>
      </c>
    </row>
    <row r="825" spans="1:7" x14ac:dyDescent="0.3">
      <c r="A825" s="1">
        <v>46169</v>
      </c>
      <c r="B825" t="s">
        <v>7</v>
      </c>
      <c r="C825" t="s">
        <v>19</v>
      </c>
      <c r="D825" t="s">
        <v>19</v>
      </c>
      <c r="E825" t="s">
        <v>18</v>
      </c>
      <c r="F825" t="s">
        <v>199</v>
      </c>
      <c r="G825" t="s">
        <v>16</v>
      </c>
    </row>
    <row r="826" spans="1:7" x14ac:dyDescent="0.3">
      <c r="A826" s="1">
        <v>46169</v>
      </c>
      <c r="B826" t="s">
        <v>7</v>
      </c>
      <c r="C826" t="s">
        <v>8</v>
      </c>
      <c r="D826" t="s">
        <v>23</v>
      </c>
      <c r="E826" t="s">
        <v>18</v>
      </c>
      <c r="F826" t="s">
        <v>199</v>
      </c>
      <c r="G826" t="s">
        <v>16</v>
      </c>
    </row>
    <row r="827" spans="1:7" x14ac:dyDescent="0.3">
      <c r="A827" s="1">
        <v>46169</v>
      </c>
      <c r="B827" t="s">
        <v>7</v>
      </c>
      <c r="C827" t="s">
        <v>8</v>
      </c>
      <c r="D827" t="s">
        <v>17</v>
      </c>
      <c r="E827" t="s">
        <v>18</v>
      </c>
      <c r="F827" t="s">
        <v>199</v>
      </c>
      <c r="G827" t="s">
        <v>16</v>
      </c>
    </row>
    <row r="828" spans="1:7" x14ac:dyDescent="0.3">
      <c r="A828" s="1">
        <v>46169</v>
      </c>
      <c r="B828" t="s">
        <v>7</v>
      </c>
      <c r="C828" t="s">
        <v>8</v>
      </c>
      <c r="D828" t="s">
        <v>17</v>
      </c>
      <c r="E828" t="s">
        <v>10</v>
      </c>
      <c r="F828" t="s">
        <v>199</v>
      </c>
      <c r="G828" t="s">
        <v>16</v>
      </c>
    </row>
    <row r="829" spans="1:7" x14ac:dyDescent="0.3">
      <c r="A829" s="1">
        <v>46169</v>
      </c>
      <c r="B829" t="s">
        <v>7</v>
      </c>
      <c r="C829" t="s">
        <v>13</v>
      </c>
      <c r="D829" t="s">
        <v>13</v>
      </c>
      <c r="E829" t="s">
        <v>18</v>
      </c>
      <c r="F829" t="s">
        <v>199</v>
      </c>
      <c r="G829" t="s">
        <v>12</v>
      </c>
    </row>
    <row r="830" spans="1:7" x14ac:dyDescent="0.3">
      <c r="A830" s="1">
        <v>46169</v>
      </c>
      <c r="B830" t="s">
        <v>7</v>
      </c>
      <c r="C830" t="s">
        <v>8</v>
      </c>
      <c r="D830" t="s">
        <v>17</v>
      </c>
      <c r="E830" t="s">
        <v>18</v>
      </c>
      <c r="F830" t="s">
        <v>199</v>
      </c>
      <c r="G830" t="s">
        <v>16</v>
      </c>
    </row>
    <row r="831" spans="1:7" x14ac:dyDescent="0.3">
      <c r="A831" s="1">
        <v>46169</v>
      </c>
      <c r="B831" t="s">
        <v>7</v>
      </c>
      <c r="C831" t="s">
        <v>8</v>
      </c>
      <c r="D831" t="s">
        <v>17</v>
      </c>
      <c r="E831" t="s">
        <v>18</v>
      </c>
      <c r="F831" t="s">
        <v>199</v>
      </c>
      <c r="G831" t="s">
        <v>16</v>
      </c>
    </row>
    <row r="832" spans="1:7" x14ac:dyDescent="0.3">
      <c r="A832" s="1">
        <v>46169</v>
      </c>
      <c r="B832" t="s">
        <v>7</v>
      </c>
      <c r="C832" t="s">
        <v>8</v>
      </c>
      <c r="D832" t="s">
        <v>34</v>
      </c>
      <c r="E832" t="s">
        <v>41</v>
      </c>
      <c r="F832" t="s">
        <v>199</v>
      </c>
      <c r="G832" t="s">
        <v>16</v>
      </c>
    </row>
    <row r="833" spans="1:7" x14ac:dyDescent="0.3">
      <c r="A833" s="1">
        <v>46169</v>
      </c>
      <c r="B833" t="s">
        <v>7</v>
      </c>
      <c r="C833" t="s">
        <v>8</v>
      </c>
      <c r="D833" t="s">
        <v>89</v>
      </c>
      <c r="E833" t="s">
        <v>18</v>
      </c>
      <c r="F833" t="s">
        <v>199</v>
      </c>
      <c r="G833" t="s">
        <v>12</v>
      </c>
    </row>
    <row r="834" spans="1:7" x14ac:dyDescent="0.3">
      <c r="A834" s="1">
        <v>46169</v>
      </c>
      <c r="B834" t="s">
        <v>7</v>
      </c>
      <c r="C834" t="s">
        <v>8</v>
      </c>
      <c r="D834" t="s">
        <v>17</v>
      </c>
      <c r="E834" t="s">
        <v>18</v>
      </c>
      <c r="F834" t="s">
        <v>199</v>
      </c>
      <c r="G834" t="s">
        <v>16</v>
      </c>
    </row>
    <row r="835" spans="1:7" x14ac:dyDescent="0.3">
      <c r="A835" s="1">
        <v>46169</v>
      </c>
      <c r="B835" t="s">
        <v>7</v>
      </c>
      <c r="C835" t="s">
        <v>8</v>
      </c>
      <c r="D835" t="s">
        <v>17</v>
      </c>
      <c r="E835" t="s">
        <v>18</v>
      </c>
      <c r="F835" t="s">
        <v>199</v>
      </c>
      <c r="G835" t="s">
        <v>12</v>
      </c>
    </row>
    <row r="836" spans="1:7" x14ac:dyDescent="0.3">
      <c r="A836" s="1">
        <v>46169</v>
      </c>
      <c r="B836" t="s">
        <v>7</v>
      </c>
      <c r="C836" t="s">
        <v>8</v>
      </c>
      <c r="D836" t="s">
        <v>17</v>
      </c>
      <c r="E836" t="s">
        <v>10</v>
      </c>
      <c r="F836" t="s">
        <v>199</v>
      </c>
      <c r="G836" t="s">
        <v>16</v>
      </c>
    </row>
    <row r="837" spans="1:7" x14ac:dyDescent="0.3">
      <c r="A837" s="1">
        <v>46169</v>
      </c>
      <c r="B837" t="s">
        <v>29</v>
      </c>
      <c r="C837" t="s">
        <v>64</v>
      </c>
      <c r="D837" t="s">
        <v>65</v>
      </c>
      <c r="E837" t="s">
        <v>18</v>
      </c>
      <c r="F837" t="s">
        <v>199</v>
      </c>
      <c r="G837" t="s">
        <v>16</v>
      </c>
    </row>
    <row r="838" spans="1:7" x14ac:dyDescent="0.3">
      <c r="A838" s="1">
        <v>46169</v>
      </c>
      <c r="B838" t="s">
        <v>7</v>
      </c>
      <c r="C838" t="s">
        <v>8</v>
      </c>
      <c r="D838" t="s">
        <v>202</v>
      </c>
      <c r="E838" t="s">
        <v>18</v>
      </c>
      <c r="F838" t="s">
        <v>199</v>
      </c>
      <c r="G838" t="s">
        <v>12</v>
      </c>
    </row>
    <row r="839" spans="1:7" x14ac:dyDescent="0.3">
      <c r="A839" s="1">
        <v>46169</v>
      </c>
      <c r="B839" t="s">
        <v>73</v>
      </c>
      <c r="C839" t="s">
        <v>73</v>
      </c>
      <c r="D839" t="s">
        <v>107</v>
      </c>
      <c r="E839" t="s">
        <v>18</v>
      </c>
      <c r="F839" t="s">
        <v>199</v>
      </c>
      <c r="G839" t="s">
        <v>16</v>
      </c>
    </row>
    <row r="840" spans="1:7" x14ac:dyDescent="0.3">
      <c r="A840" s="1">
        <v>46169</v>
      </c>
      <c r="B840" t="s">
        <v>7</v>
      </c>
      <c r="C840" t="s">
        <v>8</v>
      </c>
      <c r="D840" t="s">
        <v>17</v>
      </c>
      <c r="E840" t="s">
        <v>18</v>
      </c>
      <c r="F840" t="s">
        <v>199</v>
      </c>
      <c r="G840" t="s">
        <v>16</v>
      </c>
    </row>
    <row r="841" spans="1:7" x14ac:dyDescent="0.3">
      <c r="A841" s="1">
        <v>46169</v>
      </c>
      <c r="B841" t="s">
        <v>7</v>
      </c>
      <c r="C841" t="s">
        <v>8</v>
      </c>
      <c r="D841" t="s">
        <v>8</v>
      </c>
      <c r="E841" t="s">
        <v>10</v>
      </c>
      <c r="F841" t="s">
        <v>199</v>
      </c>
      <c r="G841" t="s">
        <v>12</v>
      </c>
    </row>
    <row r="842" spans="1:7" x14ac:dyDescent="0.3">
      <c r="A842" s="1">
        <v>46169</v>
      </c>
      <c r="B842" t="s">
        <v>29</v>
      </c>
      <c r="C842" t="s">
        <v>37</v>
      </c>
      <c r="D842" t="s">
        <v>203</v>
      </c>
      <c r="E842" t="s">
        <v>18</v>
      </c>
      <c r="F842" t="s">
        <v>199</v>
      </c>
      <c r="G842" t="s">
        <v>12</v>
      </c>
    </row>
    <row r="843" spans="1:7" x14ac:dyDescent="0.3">
      <c r="A843" s="1">
        <v>46169</v>
      </c>
      <c r="B843" t="s">
        <v>7</v>
      </c>
      <c r="C843" t="s">
        <v>8</v>
      </c>
      <c r="D843" t="s">
        <v>22</v>
      </c>
      <c r="E843" t="s">
        <v>10</v>
      </c>
      <c r="F843" t="s">
        <v>199</v>
      </c>
      <c r="G843" t="s">
        <v>16</v>
      </c>
    </row>
    <row r="844" spans="1:7" x14ac:dyDescent="0.3">
      <c r="A844" s="1">
        <v>46169</v>
      </c>
      <c r="B844" t="s">
        <v>29</v>
      </c>
      <c r="C844" t="s">
        <v>37</v>
      </c>
      <c r="D844" t="s">
        <v>70</v>
      </c>
      <c r="E844" t="s">
        <v>10</v>
      </c>
      <c r="F844" t="s">
        <v>199</v>
      </c>
      <c r="G844" t="s">
        <v>16</v>
      </c>
    </row>
    <row r="845" spans="1:7" x14ac:dyDescent="0.3">
      <c r="A845" s="1">
        <v>46169</v>
      </c>
      <c r="B845" t="s">
        <v>7</v>
      </c>
      <c r="C845" t="s">
        <v>8</v>
      </c>
      <c r="D845" t="s">
        <v>17</v>
      </c>
      <c r="E845" t="s">
        <v>18</v>
      </c>
      <c r="F845" t="s">
        <v>199</v>
      </c>
      <c r="G845" t="s">
        <v>12</v>
      </c>
    </row>
    <row r="846" spans="1:7" x14ac:dyDescent="0.3">
      <c r="A846" s="1">
        <v>46169</v>
      </c>
      <c r="B846" t="s">
        <v>7</v>
      </c>
      <c r="C846" t="s">
        <v>61</v>
      </c>
      <c r="D846" t="s">
        <v>61</v>
      </c>
      <c r="E846" t="s">
        <v>18</v>
      </c>
      <c r="F846" t="s">
        <v>199</v>
      </c>
      <c r="G846" t="s">
        <v>16</v>
      </c>
    </row>
    <row r="847" spans="1:7" x14ac:dyDescent="0.3">
      <c r="A847" s="1">
        <v>46169</v>
      </c>
      <c r="B847" t="s">
        <v>46</v>
      </c>
      <c r="C847" t="s">
        <v>157</v>
      </c>
      <c r="D847" t="s">
        <v>204</v>
      </c>
      <c r="E847" t="s">
        <v>10</v>
      </c>
      <c r="F847" t="s">
        <v>199</v>
      </c>
      <c r="G847" t="s">
        <v>12</v>
      </c>
    </row>
    <row r="848" spans="1:7" x14ac:dyDescent="0.3">
      <c r="A848" s="1">
        <v>46169</v>
      </c>
      <c r="B848" t="s">
        <v>7</v>
      </c>
      <c r="C848" t="s">
        <v>8</v>
      </c>
      <c r="D848" t="s">
        <v>17</v>
      </c>
      <c r="E848" t="s">
        <v>18</v>
      </c>
      <c r="F848" t="s">
        <v>199</v>
      </c>
      <c r="G848" t="s">
        <v>16</v>
      </c>
    </row>
    <row r="849" spans="1:7" x14ac:dyDescent="0.3">
      <c r="A849" s="1">
        <v>46169</v>
      </c>
      <c r="B849" t="s">
        <v>7</v>
      </c>
      <c r="C849" t="s">
        <v>26</v>
      </c>
      <c r="D849" t="s">
        <v>27</v>
      </c>
      <c r="E849" t="s">
        <v>41</v>
      </c>
      <c r="F849" t="s">
        <v>199</v>
      </c>
      <c r="G849" t="s">
        <v>16</v>
      </c>
    </row>
    <row r="850" spans="1:7" x14ac:dyDescent="0.3">
      <c r="A850" s="1">
        <v>46169</v>
      </c>
      <c r="B850" t="s">
        <v>7</v>
      </c>
      <c r="C850" t="s">
        <v>8</v>
      </c>
      <c r="D850" t="s">
        <v>17</v>
      </c>
      <c r="E850" t="s">
        <v>10</v>
      </c>
      <c r="F850" t="s">
        <v>199</v>
      </c>
      <c r="G850" t="s">
        <v>12</v>
      </c>
    </row>
    <row r="851" spans="1:7" x14ac:dyDescent="0.3">
      <c r="A851" s="1">
        <v>46169</v>
      </c>
      <c r="B851" t="s">
        <v>29</v>
      </c>
      <c r="C851" t="s">
        <v>37</v>
      </c>
      <c r="D851" t="s">
        <v>76</v>
      </c>
      <c r="E851" t="s">
        <v>18</v>
      </c>
      <c r="F851" t="s">
        <v>199</v>
      </c>
      <c r="G851" t="s">
        <v>12</v>
      </c>
    </row>
    <row r="852" spans="1:7" x14ac:dyDescent="0.3">
      <c r="A852" s="1">
        <v>46169</v>
      </c>
      <c r="B852" t="s">
        <v>7</v>
      </c>
      <c r="C852" t="s">
        <v>8</v>
      </c>
      <c r="D852" t="s">
        <v>17</v>
      </c>
      <c r="E852" t="s">
        <v>18</v>
      </c>
      <c r="F852" t="s">
        <v>199</v>
      </c>
      <c r="G852" t="s">
        <v>12</v>
      </c>
    </row>
    <row r="853" spans="1:7" x14ac:dyDescent="0.3">
      <c r="A853" s="1">
        <v>46169</v>
      </c>
      <c r="B853" t="s">
        <v>7</v>
      </c>
      <c r="C853" t="s">
        <v>8</v>
      </c>
      <c r="D853" t="s">
        <v>17</v>
      </c>
      <c r="E853" t="s">
        <v>10</v>
      </c>
      <c r="F853" t="s">
        <v>199</v>
      </c>
      <c r="G853" t="s">
        <v>16</v>
      </c>
    </row>
    <row r="854" spans="1:7" x14ac:dyDescent="0.3">
      <c r="A854" s="1">
        <v>46169</v>
      </c>
      <c r="B854" t="s">
        <v>7</v>
      </c>
      <c r="C854" t="s">
        <v>8</v>
      </c>
      <c r="D854" t="s">
        <v>17</v>
      </c>
      <c r="E854" t="s">
        <v>18</v>
      </c>
      <c r="F854" t="s">
        <v>199</v>
      </c>
      <c r="G854" t="s">
        <v>12</v>
      </c>
    </row>
    <row r="855" spans="1:7" x14ac:dyDescent="0.3">
      <c r="A855" s="1">
        <v>46169</v>
      </c>
      <c r="B855" t="s">
        <v>7</v>
      </c>
      <c r="C855" t="s">
        <v>8</v>
      </c>
      <c r="D855" t="s">
        <v>17</v>
      </c>
      <c r="E855" t="s">
        <v>18</v>
      </c>
      <c r="F855" t="s">
        <v>127</v>
      </c>
      <c r="G855" t="s">
        <v>12</v>
      </c>
    </row>
    <row r="856" spans="1:7" x14ac:dyDescent="0.3">
      <c r="A856" s="1">
        <v>46169</v>
      </c>
      <c r="B856" t="s">
        <v>7</v>
      </c>
      <c r="C856" t="s">
        <v>8</v>
      </c>
      <c r="D856" t="s">
        <v>17</v>
      </c>
      <c r="E856" t="s">
        <v>10</v>
      </c>
      <c r="F856" t="s">
        <v>127</v>
      </c>
      <c r="G856" t="s">
        <v>16</v>
      </c>
    </row>
    <row r="857" spans="1:7" x14ac:dyDescent="0.3">
      <c r="A857" s="1">
        <v>46169</v>
      </c>
      <c r="B857" t="s">
        <v>7</v>
      </c>
      <c r="C857" t="s">
        <v>61</v>
      </c>
      <c r="D857" t="s">
        <v>61</v>
      </c>
      <c r="E857" t="s">
        <v>18</v>
      </c>
      <c r="F857" t="s">
        <v>127</v>
      </c>
      <c r="G857" t="s">
        <v>12</v>
      </c>
    </row>
    <row r="858" spans="1:7" x14ac:dyDescent="0.3">
      <c r="A858" s="1">
        <v>46169</v>
      </c>
      <c r="B858" t="s">
        <v>7</v>
      </c>
      <c r="C858" t="s">
        <v>8</v>
      </c>
      <c r="D858" t="s">
        <v>8</v>
      </c>
      <c r="E858" t="s">
        <v>18</v>
      </c>
      <c r="F858" t="s">
        <v>127</v>
      </c>
      <c r="G858" t="s">
        <v>16</v>
      </c>
    </row>
    <row r="859" spans="1:7" x14ac:dyDescent="0.3">
      <c r="A859" s="1">
        <v>46169</v>
      </c>
      <c r="B859" t="s">
        <v>7</v>
      </c>
      <c r="C859" t="s">
        <v>8</v>
      </c>
      <c r="D859" t="s">
        <v>8</v>
      </c>
      <c r="E859" t="s">
        <v>18</v>
      </c>
      <c r="F859" t="s">
        <v>127</v>
      </c>
      <c r="G859" t="s">
        <v>16</v>
      </c>
    </row>
    <row r="860" spans="1:7" x14ac:dyDescent="0.3">
      <c r="A860" s="1">
        <v>46169</v>
      </c>
      <c r="B860" t="s">
        <v>7</v>
      </c>
      <c r="C860" t="s">
        <v>56</v>
      </c>
      <c r="D860" t="s">
        <v>92</v>
      </c>
      <c r="E860" t="s">
        <v>18</v>
      </c>
      <c r="F860" t="s">
        <v>127</v>
      </c>
      <c r="G860" t="s">
        <v>16</v>
      </c>
    </row>
    <row r="861" spans="1:7" x14ac:dyDescent="0.3">
      <c r="A861" s="1">
        <v>46169</v>
      </c>
      <c r="B861" t="s">
        <v>7</v>
      </c>
      <c r="C861" t="s">
        <v>8</v>
      </c>
      <c r="D861" t="s">
        <v>22</v>
      </c>
      <c r="E861" t="s">
        <v>18</v>
      </c>
      <c r="F861" t="s">
        <v>127</v>
      </c>
      <c r="G861" t="s">
        <v>12</v>
      </c>
    </row>
    <row r="862" spans="1:7" x14ac:dyDescent="0.3">
      <c r="A862" s="1">
        <v>46169</v>
      </c>
      <c r="B862" t="s">
        <v>7</v>
      </c>
      <c r="C862" t="s">
        <v>8</v>
      </c>
      <c r="D862" t="s">
        <v>17</v>
      </c>
      <c r="E862" t="s">
        <v>10</v>
      </c>
      <c r="F862" t="s">
        <v>127</v>
      </c>
      <c r="G862" t="s">
        <v>16</v>
      </c>
    </row>
    <row r="863" spans="1:7" x14ac:dyDescent="0.3">
      <c r="A863" s="1">
        <v>46169</v>
      </c>
      <c r="B863" t="s">
        <v>7</v>
      </c>
      <c r="C863" t="s">
        <v>8</v>
      </c>
      <c r="D863" t="s">
        <v>17</v>
      </c>
      <c r="E863" t="s">
        <v>18</v>
      </c>
      <c r="F863" t="s">
        <v>127</v>
      </c>
      <c r="G863" t="s">
        <v>12</v>
      </c>
    </row>
    <row r="864" spans="1:7" x14ac:dyDescent="0.3">
      <c r="A864" s="1">
        <v>46169</v>
      </c>
      <c r="B864" t="s">
        <v>7</v>
      </c>
      <c r="C864" t="s">
        <v>8</v>
      </c>
      <c r="D864" t="s">
        <v>22</v>
      </c>
      <c r="E864" t="s">
        <v>18</v>
      </c>
      <c r="F864" t="s">
        <v>127</v>
      </c>
      <c r="G864" t="s">
        <v>16</v>
      </c>
    </row>
    <row r="865" spans="1:7" x14ac:dyDescent="0.3">
      <c r="A865" s="1">
        <v>46169</v>
      </c>
      <c r="B865" t="s">
        <v>7</v>
      </c>
      <c r="C865" t="s">
        <v>8</v>
      </c>
      <c r="D865" t="s">
        <v>17</v>
      </c>
      <c r="E865" t="s">
        <v>18</v>
      </c>
      <c r="F865" t="s">
        <v>127</v>
      </c>
      <c r="G865" t="s">
        <v>12</v>
      </c>
    </row>
    <row r="866" spans="1:7" x14ac:dyDescent="0.3">
      <c r="A866" s="1">
        <v>46169</v>
      </c>
      <c r="B866" t="s">
        <v>7</v>
      </c>
      <c r="C866" t="s">
        <v>8</v>
      </c>
      <c r="D866" t="s">
        <v>8</v>
      </c>
      <c r="E866" t="s">
        <v>18</v>
      </c>
      <c r="F866" t="s">
        <v>127</v>
      </c>
      <c r="G866" t="s">
        <v>12</v>
      </c>
    </row>
    <row r="867" spans="1:7" x14ac:dyDescent="0.3">
      <c r="A867" s="1">
        <v>46169</v>
      </c>
      <c r="B867" t="s">
        <v>7</v>
      </c>
      <c r="C867" t="s">
        <v>8</v>
      </c>
      <c r="D867" t="s">
        <v>8</v>
      </c>
      <c r="E867" t="s">
        <v>18</v>
      </c>
      <c r="F867" t="s">
        <v>127</v>
      </c>
      <c r="G867" t="s">
        <v>12</v>
      </c>
    </row>
    <row r="868" spans="1:7" x14ac:dyDescent="0.3">
      <c r="A868" s="1">
        <v>46169</v>
      </c>
      <c r="B868" t="s">
        <v>7</v>
      </c>
      <c r="C868" t="s">
        <v>8</v>
      </c>
      <c r="D868" t="s">
        <v>17</v>
      </c>
      <c r="E868" t="s">
        <v>18</v>
      </c>
      <c r="F868" t="s">
        <v>127</v>
      </c>
      <c r="G868" t="s">
        <v>12</v>
      </c>
    </row>
    <row r="869" spans="1:7" x14ac:dyDescent="0.3">
      <c r="A869" s="1">
        <v>46169</v>
      </c>
      <c r="B869" t="s">
        <v>7</v>
      </c>
      <c r="C869" t="s">
        <v>8</v>
      </c>
      <c r="D869" t="s">
        <v>8</v>
      </c>
      <c r="E869" t="s">
        <v>18</v>
      </c>
      <c r="F869" t="s">
        <v>127</v>
      </c>
      <c r="G869" t="s">
        <v>16</v>
      </c>
    </row>
    <row r="870" spans="1:7" x14ac:dyDescent="0.3">
      <c r="A870" s="1">
        <v>46169</v>
      </c>
      <c r="B870" t="s">
        <v>7</v>
      </c>
      <c r="C870" t="s">
        <v>8</v>
      </c>
      <c r="D870" t="s">
        <v>106</v>
      </c>
      <c r="E870" t="s">
        <v>10</v>
      </c>
      <c r="F870" t="s">
        <v>127</v>
      </c>
      <c r="G870" t="s">
        <v>12</v>
      </c>
    </row>
    <row r="871" spans="1:7" x14ac:dyDescent="0.3">
      <c r="A871" s="1">
        <v>46169</v>
      </c>
      <c r="B871" t="s">
        <v>7</v>
      </c>
      <c r="C871" t="s">
        <v>8</v>
      </c>
      <c r="D871" t="s">
        <v>17</v>
      </c>
      <c r="E871" t="s">
        <v>18</v>
      </c>
      <c r="F871" t="s">
        <v>127</v>
      </c>
      <c r="G871" t="s">
        <v>16</v>
      </c>
    </row>
    <row r="872" spans="1:7" x14ac:dyDescent="0.3">
      <c r="A872" s="1">
        <v>46169</v>
      </c>
      <c r="B872" t="s">
        <v>7</v>
      </c>
      <c r="C872" t="s">
        <v>8</v>
      </c>
      <c r="D872" t="s">
        <v>8</v>
      </c>
      <c r="E872" t="s">
        <v>10</v>
      </c>
      <c r="F872" t="s">
        <v>127</v>
      </c>
      <c r="G872" t="s">
        <v>16</v>
      </c>
    </row>
    <row r="873" spans="1:7" x14ac:dyDescent="0.3">
      <c r="A873" s="1">
        <v>46169</v>
      </c>
      <c r="B873" t="s">
        <v>7</v>
      </c>
      <c r="C873" t="s">
        <v>56</v>
      </c>
      <c r="D873" t="s">
        <v>92</v>
      </c>
      <c r="E873" t="s">
        <v>18</v>
      </c>
      <c r="F873" t="s">
        <v>127</v>
      </c>
      <c r="G873" t="s">
        <v>12</v>
      </c>
    </row>
    <row r="874" spans="1:7" x14ac:dyDescent="0.3">
      <c r="A874" s="1">
        <v>46169</v>
      </c>
      <c r="B874" t="s">
        <v>7</v>
      </c>
      <c r="C874" t="s">
        <v>8</v>
      </c>
      <c r="D874" t="s">
        <v>17</v>
      </c>
      <c r="E874" t="s">
        <v>10</v>
      </c>
      <c r="F874" t="s">
        <v>127</v>
      </c>
      <c r="G874" t="s">
        <v>16</v>
      </c>
    </row>
    <row r="875" spans="1:7" x14ac:dyDescent="0.3">
      <c r="A875" s="1">
        <v>46169</v>
      </c>
      <c r="B875" t="s">
        <v>7</v>
      </c>
      <c r="C875" t="s">
        <v>8</v>
      </c>
      <c r="D875" t="s">
        <v>17</v>
      </c>
      <c r="E875" t="s">
        <v>18</v>
      </c>
      <c r="F875" t="s">
        <v>127</v>
      </c>
      <c r="G875" t="s">
        <v>16</v>
      </c>
    </row>
    <row r="876" spans="1:7" x14ac:dyDescent="0.3">
      <c r="A876" s="1">
        <v>46169</v>
      </c>
      <c r="B876" t="s">
        <v>7</v>
      </c>
      <c r="C876" t="s">
        <v>19</v>
      </c>
      <c r="D876" t="s">
        <v>19</v>
      </c>
      <c r="E876" t="s">
        <v>18</v>
      </c>
      <c r="F876" t="s">
        <v>127</v>
      </c>
      <c r="G876" t="s">
        <v>12</v>
      </c>
    </row>
    <row r="877" spans="1:7" x14ac:dyDescent="0.3">
      <c r="A877" s="1">
        <v>46169</v>
      </c>
      <c r="B877" t="s">
        <v>7</v>
      </c>
      <c r="C877" t="s">
        <v>8</v>
      </c>
      <c r="D877" t="s">
        <v>22</v>
      </c>
      <c r="E877" t="s">
        <v>18</v>
      </c>
      <c r="F877" t="s">
        <v>11</v>
      </c>
      <c r="G877" t="s">
        <v>16</v>
      </c>
    </row>
    <row r="878" spans="1:7" x14ac:dyDescent="0.3">
      <c r="A878" s="1">
        <v>46169</v>
      </c>
      <c r="B878" t="s">
        <v>7</v>
      </c>
      <c r="C878" t="s">
        <v>8</v>
      </c>
      <c r="D878" t="s">
        <v>42</v>
      </c>
      <c r="E878" t="s">
        <v>18</v>
      </c>
      <c r="F878" t="s">
        <v>11</v>
      </c>
      <c r="G878" t="s">
        <v>12</v>
      </c>
    </row>
    <row r="879" spans="1:7" x14ac:dyDescent="0.3">
      <c r="A879" s="1">
        <v>46169</v>
      </c>
      <c r="B879" t="s">
        <v>29</v>
      </c>
      <c r="C879" t="s">
        <v>37</v>
      </c>
      <c r="D879" t="s">
        <v>38</v>
      </c>
      <c r="E879" t="s">
        <v>41</v>
      </c>
      <c r="F879" t="s">
        <v>11</v>
      </c>
      <c r="G879" t="s">
        <v>16</v>
      </c>
    </row>
    <row r="880" spans="1:7" x14ac:dyDescent="0.3">
      <c r="A880" s="1">
        <v>46169</v>
      </c>
      <c r="B880" t="s">
        <v>7</v>
      </c>
      <c r="C880" t="s">
        <v>8</v>
      </c>
      <c r="D880" t="s">
        <v>17</v>
      </c>
      <c r="E880" t="s">
        <v>18</v>
      </c>
      <c r="F880" t="s">
        <v>11</v>
      </c>
      <c r="G880" t="s">
        <v>16</v>
      </c>
    </row>
    <row r="881" spans="1:7" x14ac:dyDescent="0.3">
      <c r="A881" s="1">
        <v>46169</v>
      </c>
      <c r="B881" t="s">
        <v>7</v>
      </c>
      <c r="C881" t="s">
        <v>8</v>
      </c>
      <c r="D881" t="s">
        <v>8</v>
      </c>
      <c r="E881" t="s">
        <v>10</v>
      </c>
      <c r="F881" t="s">
        <v>11</v>
      </c>
      <c r="G881" t="s">
        <v>16</v>
      </c>
    </row>
    <row r="882" spans="1:7" x14ac:dyDescent="0.3">
      <c r="A882" s="1">
        <v>46169</v>
      </c>
      <c r="B882" t="s">
        <v>7</v>
      </c>
      <c r="C882" t="s">
        <v>8</v>
      </c>
      <c r="D882" t="s">
        <v>89</v>
      </c>
      <c r="E882" t="s">
        <v>18</v>
      </c>
      <c r="F882" t="s">
        <v>11</v>
      </c>
      <c r="G882" t="s">
        <v>12</v>
      </c>
    </row>
    <row r="883" spans="1:7" x14ac:dyDescent="0.3">
      <c r="A883" s="1">
        <v>46169</v>
      </c>
      <c r="B883" t="s">
        <v>7</v>
      </c>
      <c r="C883" t="s">
        <v>19</v>
      </c>
      <c r="D883" t="s">
        <v>19</v>
      </c>
      <c r="E883" t="s">
        <v>18</v>
      </c>
      <c r="F883" t="s">
        <v>11</v>
      </c>
      <c r="G88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D4F3-0202-4530-8E0E-60DEE597559A}">
  <dimension ref="A3:D149"/>
  <sheetViews>
    <sheetView topLeftCell="A91" zoomScale="69" workbookViewId="0">
      <selection activeCell="A110" sqref="A110"/>
    </sheetView>
  </sheetViews>
  <sheetFormatPr baseColWidth="10" defaultRowHeight="14.4" x14ac:dyDescent="0.3"/>
  <cols>
    <col min="1" max="1" width="74.5546875" bestFit="1" customWidth="1"/>
    <col min="2" max="2" width="23.109375" bestFit="1" customWidth="1"/>
    <col min="3" max="3" width="11.88671875" bestFit="1" customWidth="1"/>
    <col min="4" max="4" width="12.33203125" bestFit="1" customWidth="1"/>
    <col min="5" max="5" width="40.6640625" bestFit="1" customWidth="1"/>
    <col min="6" max="6" width="15.5546875" bestFit="1" customWidth="1"/>
    <col min="7" max="7" width="46.21875" bestFit="1" customWidth="1"/>
    <col min="8" max="8" width="51.44140625" bestFit="1" customWidth="1"/>
    <col min="9" max="9" width="15.5546875" bestFit="1" customWidth="1"/>
    <col min="10" max="10" width="56.88671875" bestFit="1" customWidth="1"/>
    <col min="11" max="11" width="17" bestFit="1" customWidth="1"/>
    <col min="12" max="12" width="15.5546875" bestFit="1" customWidth="1"/>
    <col min="13" max="13" width="22.33203125" bestFit="1" customWidth="1"/>
    <col min="14" max="14" width="30.21875" bestFit="1" customWidth="1"/>
    <col min="15" max="15" width="15.5546875" bestFit="1" customWidth="1"/>
    <col min="16" max="16" width="35.5546875" bestFit="1" customWidth="1"/>
    <col min="17" max="17" width="21.6640625" bestFit="1" customWidth="1"/>
    <col min="18" max="18" width="15.5546875" bestFit="1" customWidth="1"/>
    <col min="19" max="19" width="27" bestFit="1" customWidth="1"/>
    <col min="20" max="20" width="21.44140625" bestFit="1" customWidth="1"/>
    <col min="21" max="21" width="15.5546875" bestFit="1" customWidth="1"/>
    <col min="22" max="22" width="26.77734375" bestFit="1" customWidth="1"/>
    <col min="23" max="23" width="41" bestFit="1" customWidth="1"/>
    <col min="24" max="24" width="15.5546875" bestFit="1" customWidth="1"/>
    <col min="25" max="25" width="46.33203125" bestFit="1" customWidth="1"/>
    <col min="26" max="26" width="52.44140625" bestFit="1" customWidth="1"/>
    <col min="27" max="27" width="15.5546875" bestFit="1" customWidth="1"/>
    <col min="28" max="28" width="57.77734375" bestFit="1" customWidth="1"/>
    <col min="29" max="29" width="20.44140625" bestFit="1" customWidth="1"/>
    <col min="30" max="30" width="15.5546875" bestFit="1" customWidth="1"/>
    <col min="31" max="31" width="25.77734375" bestFit="1" customWidth="1"/>
    <col min="32" max="32" width="42.44140625" bestFit="1" customWidth="1"/>
    <col min="33" max="33" width="15.5546875" bestFit="1" customWidth="1"/>
    <col min="34" max="34" width="47.77734375" bestFit="1" customWidth="1"/>
    <col min="35" max="35" width="15.21875" bestFit="1" customWidth="1"/>
    <col min="36" max="36" width="15.5546875" bestFit="1" customWidth="1"/>
    <col min="37" max="37" width="20.5546875" bestFit="1" customWidth="1"/>
    <col min="38" max="38" width="50.88671875" bestFit="1" customWidth="1"/>
    <col min="39" max="39" width="15.5546875" bestFit="1" customWidth="1"/>
    <col min="40" max="40" width="56.21875" bestFit="1" customWidth="1"/>
    <col min="41" max="41" width="25.5546875" bestFit="1" customWidth="1"/>
    <col min="42" max="42" width="30.88671875" bestFit="1" customWidth="1"/>
    <col min="43" max="43" width="28.6640625" bestFit="1" customWidth="1"/>
    <col min="44" max="44" width="34" bestFit="1" customWidth="1"/>
    <col min="45" max="45" width="84" bestFit="1" customWidth="1"/>
    <col min="46" max="46" width="15.5546875" bestFit="1" customWidth="1"/>
    <col min="47" max="47" width="89.33203125" bestFit="1" customWidth="1"/>
    <col min="48" max="48" width="82.21875" bestFit="1" customWidth="1"/>
    <col min="49" max="49" width="15.5546875" bestFit="1" customWidth="1"/>
    <col min="50" max="50" width="87.5546875" bestFit="1" customWidth="1"/>
    <col min="51" max="51" width="104.77734375" bestFit="1" customWidth="1"/>
    <col min="52" max="52" width="15.5546875" bestFit="1" customWidth="1"/>
    <col min="53" max="53" width="110.109375" bestFit="1" customWidth="1"/>
    <col min="54" max="54" width="84.5546875" bestFit="1" customWidth="1"/>
    <col min="55" max="55" width="15.5546875" bestFit="1" customWidth="1"/>
    <col min="56" max="56" width="90.109375" bestFit="1" customWidth="1"/>
    <col min="57" max="57" width="17.88671875" bestFit="1" customWidth="1"/>
    <col min="58" max="58" width="15.5546875" bestFit="1" customWidth="1"/>
    <col min="59" max="59" width="23.44140625" bestFit="1" customWidth="1"/>
    <col min="60" max="60" width="38.44140625" bestFit="1" customWidth="1"/>
    <col min="61" max="61" width="43.88671875" bestFit="1" customWidth="1"/>
    <col min="62" max="62" width="23.109375" bestFit="1" customWidth="1"/>
    <col min="63" max="63" width="15.5546875" bestFit="1" customWidth="1"/>
    <col min="64" max="64" width="28.44140625" bestFit="1" customWidth="1"/>
    <col min="65" max="65" width="28.6640625" bestFit="1" customWidth="1"/>
    <col min="66" max="66" width="15.5546875" bestFit="1" customWidth="1"/>
    <col min="67" max="67" width="34" bestFit="1" customWidth="1"/>
    <col min="68" max="68" width="33.6640625" bestFit="1" customWidth="1"/>
    <col min="69" max="69" width="15.5546875" bestFit="1" customWidth="1"/>
    <col min="70" max="70" width="39" bestFit="1" customWidth="1"/>
    <col min="71" max="71" width="30.6640625" bestFit="1" customWidth="1"/>
    <col min="72" max="72" width="15.5546875" bestFit="1" customWidth="1"/>
    <col min="73" max="73" width="36" bestFit="1" customWidth="1"/>
    <col min="74" max="74" width="54.77734375" bestFit="1" customWidth="1"/>
    <col min="75" max="75" width="15.5546875" bestFit="1" customWidth="1"/>
    <col min="76" max="76" width="60.109375" bestFit="1" customWidth="1"/>
    <col min="77" max="77" width="67.88671875" bestFit="1" customWidth="1"/>
    <col min="78" max="78" width="15.5546875" bestFit="1" customWidth="1"/>
    <col min="79" max="79" width="73.44140625" bestFit="1" customWidth="1"/>
    <col min="80" max="80" width="43.109375" bestFit="1" customWidth="1"/>
    <col min="81" max="81" width="15.5546875" bestFit="1" customWidth="1"/>
    <col min="82" max="82" width="48.44140625" bestFit="1" customWidth="1"/>
    <col min="83" max="83" width="29.33203125" bestFit="1" customWidth="1"/>
    <col min="84" max="84" width="34.88671875" bestFit="1" customWidth="1"/>
    <col min="85" max="85" width="57.88671875" bestFit="1" customWidth="1"/>
    <col min="86" max="86" width="15.5546875" bestFit="1" customWidth="1"/>
    <col min="87" max="87" width="63.21875" bestFit="1" customWidth="1"/>
    <col min="88" max="88" width="27.21875" bestFit="1" customWidth="1"/>
    <col min="89" max="89" width="15.5546875" bestFit="1" customWidth="1"/>
    <col min="90" max="90" width="32.5546875" bestFit="1" customWidth="1"/>
    <col min="91" max="91" width="42.21875" bestFit="1" customWidth="1"/>
    <col min="92" max="92" width="15.5546875" bestFit="1" customWidth="1"/>
    <col min="93" max="93" width="47.5546875" bestFit="1" customWidth="1"/>
    <col min="94" max="94" width="42.6640625" bestFit="1" customWidth="1"/>
    <col min="95" max="95" width="15.5546875" bestFit="1" customWidth="1"/>
    <col min="96" max="96" width="48" bestFit="1" customWidth="1"/>
    <col min="97" max="97" width="25.21875" bestFit="1" customWidth="1"/>
    <col min="98" max="98" width="15.5546875" bestFit="1" customWidth="1"/>
    <col min="99" max="99" width="30.5546875" bestFit="1" customWidth="1"/>
    <col min="100" max="100" width="17.33203125" bestFit="1" customWidth="1"/>
    <col min="101" max="101" width="15.5546875" bestFit="1" customWidth="1"/>
    <col min="102" max="102" width="22.6640625" bestFit="1" customWidth="1"/>
    <col min="103" max="103" width="23.44140625" bestFit="1" customWidth="1"/>
    <col min="104" max="104" width="29" bestFit="1" customWidth="1"/>
    <col min="105" max="105" width="16.44140625" bestFit="1" customWidth="1"/>
    <col min="106" max="106" width="15.5546875" bestFit="1" customWidth="1"/>
    <col min="107" max="107" width="21.77734375" bestFit="1" customWidth="1"/>
    <col min="108" max="108" width="29.5546875" bestFit="1" customWidth="1"/>
    <col min="109" max="109" width="35.109375" bestFit="1" customWidth="1"/>
    <col min="110" max="110" width="16.109375" bestFit="1" customWidth="1"/>
  </cols>
  <sheetData>
    <row r="3" spans="1:2" x14ac:dyDescent="0.3">
      <c r="A3" t="s">
        <v>208</v>
      </c>
    </row>
    <row r="4" spans="1:2" x14ac:dyDescent="0.3">
      <c r="A4" s="6">
        <v>882</v>
      </c>
    </row>
    <row r="8" spans="1:2" x14ac:dyDescent="0.3">
      <c r="A8" t="s">
        <v>209</v>
      </c>
      <c r="B8">
        <f>GETPIVOTDATA("ESCUELA",$A$3)</f>
        <v>882</v>
      </c>
    </row>
    <row r="12" spans="1:2" x14ac:dyDescent="0.3">
      <c r="A12" s="2" t="s">
        <v>205</v>
      </c>
      <c r="B12" t="s">
        <v>208</v>
      </c>
    </row>
    <row r="13" spans="1:2" x14ac:dyDescent="0.3">
      <c r="A13" s="3" t="s">
        <v>118</v>
      </c>
      <c r="B13" s="6">
        <v>44</v>
      </c>
    </row>
    <row r="14" spans="1:2" x14ac:dyDescent="0.3">
      <c r="A14" s="3" t="s">
        <v>190</v>
      </c>
      <c r="B14" s="6">
        <v>6</v>
      </c>
    </row>
    <row r="15" spans="1:2" x14ac:dyDescent="0.3">
      <c r="A15" s="3" t="s">
        <v>191</v>
      </c>
      <c r="B15" s="6">
        <v>2</v>
      </c>
    </row>
    <row r="16" spans="1:2" x14ac:dyDescent="0.3">
      <c r="A16" s="3" t="s">
        <v>192</v>
      </c>
      <c r="B16" s="6">
        <v>14</v>
      </c>
    </row>
    <row r="17" spans="1:2" x14ac:dyDescent="0.3">
      <c r="A17" s="3" t="s">
        <v>194</v>
      </c>
      <c r="B17" s="6">
        <v>13</v>
      </c>
    </row>
    <row r="18" spans="1:2" x14ac:dyDescent="0.3">
      <c r="A18" s="3" t="s">
        <v>197</v>
      </c>
      <c r="B18" s="6">
        <v>17</v>
      </c>
    </row>
    <row r="19" spans="1:2" x14ac:dyDescent="0.3">
      <c r="A19" s="3" t="s">
        <v>199</v>
      </c>
      <c r="B19" s="6">
        <v>43</v>
      </c>
    </row>
    <row r="20" spans="1:2" x14ac:dyDescent="0.3">
      <c r="A20" s="3" t="s">
        <v>127</v>
      </c>
      <c r="B20" s="6">
        <v>23</v>
      </c>
    </row>
    <row r="21" spans="1:2" x14ac:dyDescent="0.3">
      <c r="A21" s="3" t="s">
        <v>11</v>
      </c>
      <c r="B21" s="6">
        <v>8</v>
      </c>
    </row>
    <row r="22" spans="1:2" x14ac:dyDescent="0.3">
      <c r="A22" s="3" t="s">
        <v>15</v>
      </c>
      <c r="B22" s="6">
        <v>32</v>
      </c>
    </row>
    <row r="23" spans="1:2" x14ac:dyDescent="0.3">
      <c r="A23" s="3" t="s">
        <v>33</v>
      </c>
      <c r="B23" s="6">
        <v>41</v>
      </c>
    </row>
    <row r="24" spans="1:2" x14ac:dyDescent="0.3">
      <c r="A24" s="3" t="s">
        <v>55</v>
      </c>
      <c r="B24" s="6">
        <v>49</v>
      </c>
    </row>
    <row r="25" spans="1:2" x14ac:dyDescent="0.3">
      <c r="A25" s="3" t="s">
        <v>69</v>
      </c>
      <c r="B25" s="6">
        <v>22</v>
      </c>
    </row>
    <row r="26" spans="1:2" x14ac:dyDescent="0.3">
      <c r="A26" s="3" t="s">
        <v>83</v>
      </c>
      <c r="B26" s="6">
        <v>20</v>
      </c>
    </row>
    <row r="27" spans="1:2" x14ac:dyDescent="0.3">
      <c r="A27" s="3" t="s">
        <v>87</v>
      </c>
      <c r="B27" s="6">
        <v>17</v>
      </c>
    </row>
    <row r="28" spans="1:2" x14ac:dyDescent="0.3">
      <c r="A28" s="3" t="s">
        <v>91</v>
      </c>
      <c r="B28" s="6">
        <v>9</v>
      </c>
    </row>
    <row r="29" spans="1:2" x14ac:dyDescent="0.3">
      <c r="A29" s="3" t="s">
        <v>95</v>
      </c>
      <c r="B29" s="6">
        <v>16</v>
      </c>
    </row>
    <row r="30" spans="1:2" x14ac:dyDescent="0.3">
      <c r="A30" s="3" t="s">
        <v>97</v>
      </c>
      <c r="B30" s="6">
        <v>11</v>
      </c>
    </row>
    <row r="31" spans="1:2" x14ac:dyDescent="0.3">
      <c r="A31" s="3" t="s">
        <v>99</v>
      </c>
      <c r="B31" s="6">
        <v>12</v>
      </c>
    </row>
    <row r="32" spans="1:2" x14ac:dyDescent="0.3">
      <c r="A32" s="3" t="s">
        <v>102</v>
      </c>
      <c r="B32" s="6">
        <v>37</v>
      </c>
    </row>
    <row r="33" spans="1:2" x14ac:dyDescent="0.3">
      <c r="A33" s="3" t="s">
        <v>115</v>
      </c>
      <c r="B33" s="6">
        <v>1</v>
      </c>
    </row>
    <row r="34" spans="1:2" x14ac:dyDescent="0.3">
      <c r="A34" s="3" t="s">
        <v>116</v>
      </c>
      <c r="B34" s="6">
        <v>42</v>
      </c>
    </row>
    <row r="35" spans="1:2" x14ac:dyDescent="0.3">
      <c r="A35" s="3" t="s">
        <v>111</v>
      </c>
      <c r="B35" s="6">
        <v>34</v>
      </c>
    </row>
    <row r="36" spans="1:2" x14ac:dyDescent="0.3">
      <c r="A36" s="3" t="s">
        <v>131</v>
      </c>
      <c r="B36" s="6">
        <v>28</v>
      </c>
    </row>
    <row r="37" spans="1:2" x14ac:dyDescent="0.3">
      <c r="A37" s="3" t="s">
        <v>135</v>
      </c>
      <c r="B37" s="6">
        <v>30</v>
      </c>
    </row>
    <row r="38" spans="1:2" x14ac:dyDescent="0.3">
      <c r="A38" s="3" t="s">
        <v>137</v>
      </c>
      <c r="B38" s="6">
        <v>19</v>
      </c>
    </row>
    <row r="39" spans="1:2" x14ac:dyDescent="0.3">
      <c r="A39" s="3" t="s">
        <v>144</v>
      </c>
      <c r="B39" s="6">
        <v>4</v>
      </c>
    </row>
    <row r="40" spans="1:2" x14ac:dyDescent="0.3">
      <c r="A40" s="3" t="s">
        <v>149</v>
      </c>
      <c r="B40" s="6">
        <v>3</v>
      </c>
    </row>
    <row r="41" spans="1:2" x14ac:dyDescent="0.3">
      <c r="A41" s="3" t="s">
        <v>150</v>
      </c>
      <c r="B41" s="6">
        <v>39</v>
      </c>
    </row>
    <row r="42" spans="1:2" x14ac:dyDescent="0.3">
      <c r="A42" s="3" t="s">
        <v>162</v>
      </c>
      <c r="B42" s="6">
        <v>44</v>
      </c>
    </row>
    <row r="43" spans="1:2" x14ac:dyDescent="0.3">
      <c r="A43" s="3" t="s">
        <v>93</v>
      </c>
      <c r="B43" s="6">
        <v>40</v>
      </c>
    </row>
    <row r="44" spans="1:2" x14ac:dyDescent="0.3">
      <c r="A44" s="3" t="s">
        <v>171</v>
      </c>
      <c r="B44" s="6">
        <v>35</v>
      </c>
    </row>
    <row r="45" spans="1:2" x14ac:dyDescent="0.3">
      <c r="A45" s="3" t="s">
        <v>174</v>
      </c>
      <c r="B45" s="6">
        <v>34</v>
      </c>
    </row>
    <row r="46" spans="1:2" x14ac:dyDescent="0.3">
      <c r="A46" s="3" t="s">
        <v>179</v>
      </c>
      <c r="B46" s="6">
        <v>18</v>
      </c>
    </row>
    <row r="47" spans="1:2" x14ac:dyDescent="0.3">
      <c r="A47" s="3" t="s">
        <v>183</v>
      </c>
      <c r="B47" s="6">
        <v>22</v>
      </c>
    </row>
    <row r="48" spans="1:2" x14ac:dyDescent="0.3">
      <c r="A48" s="3" t="s">
        <v>184</v>
      </c>
      <c r="B48" s="6">
        <v>37</v>
      </c>
    </row>
    <row r="49" spans="1:2" x14ac:dyDescent="0.3">
      <c r="A49" s="3" t="s">
        <v>185</v>
      </c>
      <c r="B49" s="6">
        <v>14</v>
      </c>
    </row>
    <row r="50" spans="1:2" x14ac:dyDescent="0.3">
      <c r="A50" s="3" t="s">
        <v>187</v>
      </c>
      <c r="B50" s="6">
        <v>2</v>
      </c>
    </row>
    <row r="51" spans="1:2" x14ac:dyDescent="0.3">
      <c r="A51" s="3" t="s">
        <v>206</v>
      </c>
      <c r="B51" s="6">
        <v>882</v>
      </c>
    </row>
    <row r="53" spans="1:2" x14ac:dyDescent="0.3">
      <c r="A53" t="s">
        <v>212</v>
      </c>
      <c r="B53">
        <f>COUNT(B13:B51)-1</f>
        <v>38</v>
      </c>
    </row>
    <row r="55" spans="1:2" x14ac:dyDescent="0.3">
      <c r="A55" s="2" t="s">
        <v>205</v>
      </c>
      <c r="B55" t="s">
        <v>208</v>
      </c>
    </row>
    <row r="56" spans="1:2" x14ac:dyDescent="0.3">
      <c r="A56" s="3" t="s">
        <v>45</v>
      </c>
      <c r="B56" s="6">
        <v>6</v>
      </c>
    </row>
    <row r="57" spans="1:2" x14ac:dyDescent="0.3">
      <c r="A57" s="3" t="s">
        <v>10</v>
      </c>
      <c r="B57" s="6">
        <v>241</v>
      </c>
    </row>
    <row r="58" spans="1:2" x14ac:dyDescent="0.3">
      <c r="A58" s="3" t="s">
        <v>180</v>
      </c>
      <c r="B58" s="6">
        <v>1</v>
      </c>
    </row>
    <row r="59" spans="1:2" x14ac:dyDescent="0.3">
      <c r="A59" s="3" t="s">
        <v>41</v>
      </c>
      <c r="B59" s="6">
        <v>25</v>
      </c>
    </row>
    <row r="60" spans="1:2" x14ac:dyDescent="0.3">
      <c r="A60" s="3" t="s">
        <v>18</v>
      </c>
      <c r="B60" s="6">
        <v>586</v>
      </c>
    </row>
    <row r="61" spans="1:2" x14ac:dyDescent="0.3">
      <c r="A61" s="3" t="s">
        <v>113</v>
      </c>
      <c r="B61" s="6">
        <v>1</v>
      </c>
    </row>
    <row r="62" spans="1:2" x14ac:dyDescent="0.3">
      <c r="A62" s="3" t="s">
        <v>43</v>
      </c>
      <c r="B62" s="6">
        <v>12</v>
      </c>
    </row>
    <row r="63" spans="1:2" x14ac:dyDescent="0.3">
      <c r="A63" s="3" t="s">
        <v>35</v>
      </c>
      <c r="B63" s="6">
        <v>6</v>
      </c>
    </row>
    <row r="64" spans="1:2" x14ac:dyDescent="0.3">
      <c r="A64" s="3" t="s">
        <v>133</v>
      </c>
      <c r="B64" s="6">
        <v>2</v>
      </c>
    </row>
    <row r="65" spans="1:3" x14ac:dyDescent="0.3">
      <c r="A65" s="3" t="s">
        <v>117</v>
      </c>
      <c r="B65" s="6">
        <v>2</v>
      </c>
    </row>
    <row r="66" spans="1:3" x14ac:dyDescent="0.3">
      <c r="A66" s="3" t="s">
        <v>206</v>
      </c>
      <c r="B66" s="6">
        <v>882</v>
      </c>
    </row>
    <row r="68" spans="1:3" x14ac:dyDescent="0.3">
      <c r="B68" t="s">
        <v>211</v>
      </c>
      <c r="C68">
        <f>COUNT(B56:B66)-1</f>
        <v>10</v>
      </c>
    </row>
    <row r="75" spans="1:3" x14ac:dyDescent="0.3">
      <c r="A75" s="2" t="s">
        <v>205</v>
      </c>
      <c r="B75" t="s">
        <v>207</v>
      </c>
    </row>
    <row r="76" spans="1:3" x14ac:dyDescent="0.3">
      <c r="A76" s="3" t="s">
        <v>12</v>
      </c>
      <c r="B76" s="6">
        <v>411</v>
      </c>
    </row>
    <row r="77" spans="1:3" x14ac:dyDescent="0.3">
      <c r="A77" s="3" t="s">
        <v>16</v>
      </c>
      <c r="B77" s="6">
        <v>471</v>
      </c>
    </row>
    <row r="78" spans="1:3" x14ac:dyDescent="0.3">
      <c r="A78" s="3" t="s">
        <v>206</v>
      </c>
      <c r="B78" s="6">
        <v>882</v>
      </c>
    </row>
    <row r="89" spans="1:2" x14ac:dyDescent="0.3">
      <c r="A89" s="2" t="s">
        <v>205</v>
      </c>
      <c r="B89" t="s">
        <v>210</v>
      </c>
    </row>
    <row r="90" spans="1:2" x14ac:dyDescent="0.3">
      <c r="A90" s="3" t="s">
        <v>129</v>
      </c>
      <c r="B90" s="6">
        <v>2</v>
      </c>
    </row>
    <row r="91" spans="1:2" x14ac:dyDescent="0.3">
      <c r="A91" s="3" t="s">
        <v>50</v>
      </c>
      <c r="B91" s="6">
        <v>6</v>
      </c>
    </row>
    <row r="92" spans="1:2" x14ac:dyDescent="0.3">
      <c r="A92" s="3" t="s">
        <v>152</v>
      </c>
      <c r="B92" s="6">
        <v>1</v>
      </c>
    </row>
    <row r="93" spans="1:2" x14ac:dyDescent="0.3">
      <c r="A93" s="3" t="s">
        <v>29</v>
      </c>
      <c r="B93" s="6">
        <v>54</v>
      </c>
    </row>
    <row r="94" spans="1:2" x14ac:dyDescent="0.3">
      <c r="A94" s="3" t="s">
        <v>195</v>
      </c>
      <c r="B94" s="6">
        <v>1</v>
      </c>
    </row>
    <row r="95" spans="1:2" x14ac:dyDescent="0.3">
      <c r="A95" s="3" t="s">
        <v>160</v>
      </c>
      <c r="B95" s="6">
        <v>1</v>
      </c>
    </row>
    <row r="96" spans="1:2" x14ac:dyDescent="0.3">
      <c r="A96" s="3" t="s">
        <v>7</v>
      </c>
      <c r="B96" s="6">
        <v>788</v>
      </c>
    </row>
    <row r="97" spans="1:4" x14ac:dyDescent="0.3">
      <c r="A97" s="3" t="s">
        <v>46</v>
      </c>
      <c r="B97" s="6">
        <v>19</v>
      </c>
    </row>
    <row r="98" spans="1:4" x14ac:dyDescent="0.3">
      <c r="A98" s="3" t="s">
        <v>73</v>
      </c>
      <c r="B98" s="6">
        <v>9</v>
      </c>
    </row>
    <row r="99" spans="1:4" x14ac:dyDescent="0.3">
      <c r="A99" s="3" t="s">
        <v>146</v>
      </c>
      <c r="B99" s="6">
        <v>1</v>
      </c>
    </row>
    <row r="100" spans="1:4" x14ac:dyDescent="0.3">
      <c r="A100" s="3" t="s">
        <v>206</v>
      </c>
      <c r="B100" s="6">
        <v>882</v>
      </c>
    </row>
    <row r="104" spans="1:4" x14ac:dyDescent="0.3">
      <c r="B104">
        <f>COUNT(B90:B100)-1</f>
        <v>10</v>
      </c>
    </row>
    <row r="109" spans="1:4" x14ac:dyDescent="0.3">
      <c r="A109" s="2" t="s">
        <v>208</v>
      </c>
      <c r="B109" s="2" t="s">
        <v>213</v>
      </c>
    </row>
    <row r="110" spans="1:4" x14ac:dyDescent="0.3">
      <c r="A110" s="2" t="s">
        <v>205</v>
      </c>
      <c r="B110" t="s">
        <v>12</v>
      </c>
      <c r="C110" t="s">
        <v>16</v>
      </c>
      <c r="D110" t="s">
        <v>206</v>
      </c>
    </row>
    <row r="111" spans="1:4" x14ac:dyDescent="0.3">
      <c r="A111" s="3" t="s">
        <v>118</v>
      </c>
      <c r="B111" s="6">
        <v>24</v>
      </c>
      <c r="C111" s="6">
        <v>20</v>
      </c>
      <c r="D111" s="6">
        <v>44</v>
      </c>
    </row>
    <row r="112" spans="1:4" x14ac:dyDescent="0.3">
      <c r="A112" s="3" t="s">
        <v>190</v>
      </c>
      <c r="B112" s="6">
        <v>4</v>
      </c>
      <c r="C112" s="6">
        <v>2</v>
      </c>
      <c r="D112" s="6">
        <v>6</v>
      </c>
    </row>
    <row r="113" spans="1:4" x14ac:dyDescent="0.3">
      <c r="A113" s="3" t="s">
        <v>191</v>
      </c>
      <c r="B113" s="6">
        <v>1</v>
      </c>
      <c r="C113" s="6">
        <v>1</v>
      </c>
      <c r="D113" s="6">
        <v>2</v>
      </c>
    </row>
    <row r="114" spans="1:4" x14ac:dyDescent="0.3">
      <c r="A114" s="3" t="s">
        <v>192</v>
      </c>
      <c r="B114" s="6">
        <v>7</v>
      </c>
      <c r="C114" s="6">
        <v>7</v>
      </c>
      <c r="D114" s="6">
        <v>14</v>
      </c>
    </row>
    <row r="115" spans="1:4" x14ac:dyDescent="0.3">
      <c r="A115" s="3" t="s">
        <v>194</v>
      </c>
      <c r="B115" s="6">
        <v>2</v>
      </c>
      <c r="C115" s="6">
        <v>11</v>
      </c>
      <c r="D115" s="6">
        <v>13</v>
      </c>
    </row>
    <row r="116" spans="1:4" x14ac:dyDescent="0.3">
      <c r="A116" s="3" t="s">
        <v>197</v>
      </c>
      <c r="B116" s="6">
        <v>11</v>
      </c>
      <c r="C116" s="6">
        <v>6</v>
      </c>
      <c r="D116" s="6">
        <v>17</v>
      </c>
    </row>
    <row r="117" spans="1:4" x14ac:dyDescent="0.3">
      <c r="A117" s="3" t="s">
        <v>199</v>
      </c>
      <c r="B117" s="6">
        <v>22</v>
      </c>
      <c r="C117" s="6">
        <v>21</v>
      </c>
      <c r="D117" s="6">
        <v>43</v>
      </c>
    </row>
    <row r="118" spans="1:4" x14ac:dyDescent="0.3">
      <c r="A118" s="3" t="s">
        <v>127</v>
      </c>
      <c r="B118" s="6">
        <v>12</v>
      </c>
      <c r="C118" s="6">
        <v>11</v>
      </c>
      <c r="D118" s="6">
        <v>23</v>
      </c>
    </row>
    <row r="119" spans="1:4" x14ac:dyDescent="0.3">
      <c r="A119" s="3" t="s">
        <v>11</v>
      </c>
      <c r="B119" s="6">
        <v>3</v>
      </c>
      <c r="C119" s="6">
        <v>5</v>
      </c>
      <c r="D119" s="6">
        <v>8</v>
      </c>
    </row>
    <row r="120" spans="1:4" x14ac:dyDescent="0.3">
      <c r="A120" s="3" t="s">
        <v>15</v>
      </c>
      <c r="B120" s="6">
        <v>16</v>
      </c>
      <c r="C120" s="6">
        <v>16</v>
      </c>
      <c r="D120" s="6">
        <v>32</v>
      </c>
    </row>
    <row r="121" spans="1:4" x14ac:dyDescent="0.3">
      <c r="A121" s="3" t="s">
        <v>33</v>
      </c>
      <c r="B121" s="6">
        <v>18</v>
      </c>
      <c r="C121" s="6">
        <v>23</v>
      </c>
      <c r="D121" s="6">
        <v>41</v>
      </c>
    </row>
    <row r="122" spans="1:4" x14ac:dyDescent="0.3">
      <c r="A122" s="3" t="s">
        <v>55</v>
      </c>
      <c r="B122" s="6">
        <v>26</v>
      </c>
      <c r="C122" s="6">
        <v>23</v>
      </c>
      <c r="D122" s="6">
        <v>49</v>
      </c>
    </row>
    <row r="123" spans="1:4" x14ac:dyDescent="0.3">
      <c r="A123" s="3" t="s">
        <v>69</v>
      </c>
      <c r="B123" s="6">
        <v>3</v>
      </c>
      <c r="C123" s="6">
        <v>19</v>
      </c>
      <c r="D123" s="6">
        <v>22</v>
      </c>
    </row>
    <row r="124" spans="1:4" x14ac:dyDescent="0.3">
      <c r="A124" s="3" t="s">
        <v>83</v>
      </c>
      <c r="B124" s="6">
        <v>20</v>
      </c>
      <c r="C124" s="6"/>
      <c r="D124" s="6">
        <v>20</v>
      </c>
    </row>
    <row r="125" spans="1:4" x14ac:dyDescent="0.3">
      <c r="A125" s="3" t="s">
        <v>87</v>
      </c>
      <c r="B125" s="6">
        <v>17</v>
      </c>
      <c r="C125" s="6"/>
      <c r="D125" s="6">
        <v>17</v>
      </c>
    </row>
    <row r="126" spans="1:4" x14ac:dyDescent="0.3">
      <c r="A126" s="3" t="s">
        <v>91</v>
      </c>
      <c r="B126" s="6">
        <v>3</v>
      </c>
      <c r="C126" s="6">
        <v>6</v>
      </c>
      <c r="D126" s="6">
        <v>9</v>
      </c>
    </row>
    <row r="127" spans="1:4" x14ac:dyDescent="0.3">
      <c r="A127" s="3" t="s">
        <v>95</v>
      </c>
      <c r="B127" s="6">
        <v>9</v>
      </c>
      <c r="C127" s="6">
        <v>7</v>
      </c>
      <c r="D127" s="6">
        <v>16</v>
      </c>
    </row>
    <row r="128" spans="1:4" x14ac:dyDescent="0.3">
      <c r="A128" s="3" t="s">
        <v>97</v>
      </c>
      <c r="B128" s="6">
        <v>5</v>
      </c>
      <c r="C128" s="6">
        <v>6</v>
      </c>
      <c r="D128" s="6">
        <v>11</v>
      </c>
    </row>
    <row r="129" spans="1:4" x14ac:dyDescent="0.3">
      <c r="A129" s="3" t="s">
        <v>99</v>
      </c>
      <c r="B129" s="6">
        <v>8</v>
      </c>
      <c r="C129" s="6">
        <v>4</v>
      </c>
      <c r="D129" s="6">
        <v>12</v>
      </c>
    </row>
    <row r="130" spans="1:4" x14ac:dyDescent="0.3">
      <c r="A130" s="3" t="s">
        <v>102</v>
      </c>
      <c r="B130" s="6">
        <v>27</v>
      </c>
      <c r="C130" s="6">
        <v>10</v>
      </c>
      <c r="D130" s="6">
        <v>37</v>
      </c>
    </row>
    <row r="131" spans="1:4" x14ac:dyDescent="0.3">
      <c r="A131" s="3" t="s">
        <v>115</v>
      </c>
      <c r="B131" s="6">
        <v>1</v>
      </c>
      <c r="C131" s="6"/>
      <c r="D131" s="6">
        <v>1</v>
      </c>
    </row>
    <row r="132" spans="1:4" x14ac:dyDescent="0.3">
      <c r="A132" s="3" t="s">
        <v>116</v>
      </c>
      <c r="B132" s="6">
        <v>5</v>
      </c>
      <c r="C132" s="6">
        <v>37</v>
      </c>
      <c r="D132" s="6">
        <v>42</v>
      </c>
    </row>
    <row r="133" spans="1:4" x14ac:dyDescent="0.3">
      <c r="A133" s="3" t="s">
        <v>111</v>
      </c>
      <c r="B133" s="6">
        <v>6</v>
      </c>
      <c r="C133" s="6">
        <v>28</v>
      </c>
      <c r="D133" s="6">
        <v>34</v>
      </c>
    </row>
    <row r="134" spans="1:4" x14ac:dyDescent="0.3">
      <c r="A134" s="3" t="s">
        <v>131</v>
      </c>
      <c r="B134" s="6">
        <v>8</v>
      </c>
      <c r="C134" s="6">
        <v>20</v>
      </c>
      <c r="D134" s="6">
        <v>28</v>
      </c>
    </row>
    <row r="135" spans="1:4" x14ac:dyDescent="0.3">
      <c r="A135" s="3" t="s">
        <v>135</v>
      </c>
      <c r="B135" s="6">
        <v>3</v>
      </c>
      <c r="C135" s="6">
        <v>27</v>
      </c>
      <c r="D135" s="6">
        <v>30</v>
      </c>
    </row>
    <row r="136" spans="1:4" x14ac:dyDescent="0.3">
      <c r="A136" s="3" t="s">
        <v>137</v>
      </c>
      <c r="B136" s="6">
        <v>12</v>
      </c>
      <c r="C136" s="6">
        <v>7</v>
      </c>
      <c r="D136" s="6">
        <v>19</v>
      </c>
    </row>
    <row r="137" spans="1:4" x14ac:dyDescent="0.3">
      <c r="A137" s="3" t="s">
        <v>144</v>
      </c>
      <c r="B137" s="6">
        <v>3</v>
      </c>
      <c r="C137" s="6">
        <v>1</v>
      </c>
      <c r="D137" s="6">
        <v>4</v>
      </c>
    </row>
    <row r="138" spans="1:4" x14ac:dyDescent="0.3">
      <c r="A138" s="3" t="s">
        <v>149</v>
      </c>
      <c r="B138" s="6">
        <v>1</v>
      </c>
      <c r="C138" s="6">
        <v>2</v>
      </c>
      <c r="D138" s="6">
        <v>3</v>
      </c>
    </row>
    <row r="139" spans="1:4" x14ac:dyDescent="0.3">
      <c r="A139" s="3" t="s">
        <v>150</v>
      </c>
      <c r="B139" s="6"/>
      <c r="C139" s="6">
        <v>39</v>
      </c>
      <c r="D139" s="6">
        <v>39</v>
      </c>
    </row>
    <row r="140" spans="1:4" x14ac:dyDescent="0.3">
      <c r="A140" s="3" t="s">
        <v>162</v>
      </c>
      <c r="B140" s="6">
        <v>8</v>
      </c>
      <c r="C140" s="6">
        <v>36</v>
      </c>
      <c r="D140" s="6">
        <v>44</v>
      </c>
    </row>
    <row r="141" spans="1:4" x14ac:dyDescent="0.3">
      <c r="A141" s="3" t="s">
        <v>93</v>
      </c>
      <c r="B141" s="6">
        <v>15</v>
      </c>
      <c r="C141" s="6">
        <v>25</v>
      </c>
      <c r="D141" s="6">
        <v>40</v>
      </c>
    </row>
    <row r="142" spans="1:4" x14ac:dyDescent="0.3">
      <c r="A142" s="3" t="s">
        <v>171</v>
      </c>
      <c r="B142" s="6">
        <v>22</v>
      </c>
      <c r="C142" s="6">
        <v>13</v>
      </c>
      <c r="D142" s="6">
        <v>35</v>
      </c>
    </row>
    <row r="143" spans="1:4" x14ac:dyDescent="0.3">
      <c r="A143" s="3" t="s">
        <v>174</v>
      </c>
      <c r="B143" s="6">
        <v>19</v>
      </c>
      <c r="C143" s="6">
        <v>15</v>
      </c>
      <c r="D143" s="6">
        <v>34</v>
      </c>
    </row>
    <row r="144" spans="1:4" x14ac:dyDescent="0.3">
      <c r="A144" s="3" t="s">
        <v>179</v>
      </c>
      <c r="B144" s="6">
        <v>13</v>
      </c>
      <c r="C144" s="6">
        <v>5</v>
      </c>
      <c r="D144" s="6">
        <v>18</v>
      </c>
    </row>
    <row r="145" spans="1:4" x14ac:dyDescent="0.3">
      <c r="A145" s="3" t="s">
        <v>183</v>
      </c>
      <c r="B145" s="6">
        <v>16</v>
      </c>
      <c r="C145" s="6">
        <v>6</v>
      </c>
      <c r="D145" s="6">
        <v>22</v>
      </c>
    </row>
    <row r="146" spans="1:4" x14ac:dyDescent="0.3">
      <c r="A146" s="3" t="s">
        <v>184</v>
      </c>
      <c r="B146" s="6">
        <v>37</v>
      </c>
      <c r="C146" s="6"/>
      <c r="D146" s="6">
        <v>37</v>
      </c>
    </row>
    <row r="147" spans="1:4" x14ac:dyDescent="0.3">
      <c r="A147" s="3" t="s">
        <v>185</v>
      </c>
      <c r="B147" s="6">
        <v>4</v>
      </c>
      <c r="C147" s="6">
        <v>10</v>
      </c>
      <c r="D147" s="6">
        <v>14</v>
      </c>
    </row>
    <row r="148" spans="1:4" x14ac:dyDescent="0.3">
      <c r="A148" s="3" t="s">
        <v>187</v>
      </c>
      <c r="B148" s="6"/>
      <c r="C148" s="6">
        <v>2</v>
      </c>
      <c r="D148" s="6">
        <v>2</v>
      </c>
    </row>
    <row r="149" spans="1:4" x14ac:dyDescent="0.3">
      <c r="A149" s="3" t="s">
        <v>206</v>
      </c>
      <c r="B149" s="6">
        <v>411</v>
      </c>
      <c r="C149" s="6">
        <v>471</v>
      </c>
      <c r="D149" s="6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495A-FFC8-4723-B6FD-B008F8DF71CA}">
  <dimension ref="A1:P25"/>
  <sheetViews>
    <sheetView zoomScale="91" zoomScaleNormal="265" workbookViewId="0">
      <selection activeCell="D30" sqref="D30"/>
    </sheetView>
  </sheetViews>
  <sheetFormatPr baseColWidth="10" defaultRowHeight="14.4" x14ac:dyDescent="0.3"/>
  <cols>
    <col min="1" max="1" width="2.77734375" customWidth="1"/>
    <col min="2" max="12" width="11.77734375" customWidth="1"/>
    <col min="13" max="13" width="2.77734375" customWidth="1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6" ht="15.6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P8" s="5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72C3D-8B22-4900-8A31-069C1A5EED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DataBase Limpia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Davila</dc:creator>
  <cp:lastModifiedBy>Rosa Davila</cp:lastModifiedBy>
  <dcterms:created xsi:type="dcterms:W3CDTF">2026-07-21T15:03:27Z</dcterms:created>
  <dcterms:modified xsi:type="dcterms:W3CDTF">2026-07-22T01:48:37Z</dcterms:modified>
</cp:coreProperties>
</file>